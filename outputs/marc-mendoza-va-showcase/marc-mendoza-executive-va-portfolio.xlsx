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0bfe5821954e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620c46e11c849cb"/>
    <x:sheet xmlns:r="http://schemas.openxmlformats.org/officeDocument/2006/relationships" name="Inbox Tracker" sheetId="2" r:id="R4dfa3e0f47474c9c"/>
    <x:sheet xmlns:r="http://schemas.openxmlformats.org/officeDocument/2006/relationships" name="Calendar" sheetId="3" r:id="Rdb6570a1cf224ffd"/>
    <x:sheet xmlns:r="http://schemas.openxmlformats.org/officeDocument/2006/relationships" name="Task Board" sheetId="4" r:id="R50662ffbda864271"/>
    <x:sheet xmlns:r="http://schemas.openxmlformats.org/officeDocument/2006/relationships" name="Follow-ups" sheetId="5" r:id="R08c3d35cdc6748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%"/>
    <x:numFmt numFmtId="202" formatCode="0.0"/>
    <x:numFmt numFmtId="203" formatCode="yyyy-mm-dd hh:mm"/>
    <x:numFmt numFmtId="204" formatCode="0"/>
  </x:numFmts>
  <x:fonts count="8">
    <x:font>
      <x:sz val="11"/>
      <x:name val="Carlito"/>
    </x:font>
    <x:font>
      <x:b/>
      <x:sz val="16"/>
      <x:color rgb="FFFFFFFF"/>
      <x:name val="Aptos Display"/>
    </x:font>
    <x:font>
      <x:sz val="10"/>
      <x:color rgb="FF1F2937"/>
      <x:name val="Aptos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EAF2FF"/>
      </x:patternFill>
    </x:fill>
    <x:fill>
      <x:patternFill patternType="solid">
        <x:fgColor rgb="FFF4F6F8"/>
      </x:patternFill>
    </x:fill>
    <x:fill>
      <x:patternFill patternType="solid">
        <x:fgColor rgb="FF2563EB"/>
      </x:patternFill>
    </x:fill>
  </x:fills>
  <x:borders count="2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0" fontId="3" fillId="4" borderId="1" xfId="0" applyNumberFormat="1" applyFont="1" applyFill="1" applyBorder="1"/>
    <x:xf numFmtId="200" fontId="0" fillId="0" borderId="1" xfId="0" applyNumberFormat="1" applyFont="1" applyFill="1" applyBorder="1"/>
    <x:xf numFmtId="0" fontId="0" fillId="0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201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4" fontId="0" fillId="0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4" borderId="1" xfId="0" applyNumberFormat="1" applyFont="1" applyFill="1" applyBorder="1" applyAlignment="1">
      <x:alignment vertical="center"/>
    </x:xf>
    <x:xf numFmtId="200" fontId="6" fillId="0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201" fontId="6" fillId="0" borderId="1" xfId="0" applyNumberFormat="1" applyFont="1" applyFill="1" applyBorder="1" applyAlignment="1">
      <x:alignment vertical="center"/>
    </x:xf>
    <x:xf numFmtId="202" fontId="6" fillId="0" borderId="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3" fontId="6" fillId="0" borderId="1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 wrapText="1"/>
    </x:xf>
    <x:xf numFmtId="204" fontId="6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2294b038cd4568" /><Relationship Type="http://schemas.openxmlformats.org/officeDocument/2006/relationships/theme" Target="/xl/theme/theme1.xml" Id="R5453954874384c40" /><Relationship Type="http://schemas.openxmlformats.org/officeDocument/2006/relationships/sharedStrings" Target="/xl/sharedStrings.xml" Id="R9a405d7beb09468c" /><Relationship Type="http://schemas.openxmlformats.org/officeDocument/2006/relationships/worksheet" Target="/xl/worksheets/sheet1.xml" Id="Rf620c46e11c849cb" /><Relationship Type="http://schemas.openxmlformats.org/officeDocument/2006/relationships/worksheet" Target="/xl/worksheets/sheet2.xml" Id="R4dfa3e0f47474c9c" /><Relationship Type="http://schemas.openxmlformats.org/officeDocument/2006/relationships/worksheet" Target="/xl/worksheets/sheet3.xml" Id="Rdb6570a1cf224ffd" /><Relationship Type="http://schemas.openxmlformats.org/officeDocument/2006/relationships/worksheet" Target="/xl/worksheets/sheet4.xml" Id="R50662ffbda864271" /><Relationship Type="http://schemas.openxmlformats.org/officeDocument/2006/relationships/worksheet" Target="/xl/worksheets/sheet5.xml" Id="R08c3d35cdc674863" /><Relationship Type="http://schemas.microsoft.com/office/2017/10/relationships/person" Target="/xl/persons/person.xml" Id="R3a37fb8de7ec486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05fc79bb1eb46e8" /><Relationship Type="http://schemas.openxmlformats.org/officeDocument/2006/relationships/chart" Target="/xl/drawings/charts/chart2.xml" Id="R481f69e6d8864d6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Inbox by Status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Count</c:v>
          </c:tx>
          <c:dLbls/>
          <c:cat>
            <c:strRef>
              <c:f>'Dashboard'!$F$5:$F$10</c:f>
              <c:strCache>
                <c:ptCount val="0"/>
              </c:strCache>
            </c:strRef>
          </c:cat>
          <c:val>
            <c:numRef>
              <c:f>'Dashboard'!$G$5:$G$10</c:f>
              <c:numCache>
                <c:formatCode>#,##0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Inbox by Category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Count</c:v>
          </c:tx>
          <c:dLbls/>
          <c:cat>
            <c:strRef>
              <c:f>'Dashboard'!$I$5:$I$10</c:f>
              <c:strCache>
                <c:ptCount val="0"/>
              </c:strCache>
            </c:strRef>
          </c:cat>
          <c:val>
            <c:numRef>
              <c:f>'Dashboard'!$J$5:$J$10</c:f>
              <c:numCache>
                <c:formatCode>#,##0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4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5fc79bb1eb46e8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10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1f69e6d8864d6b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Marc Mendoza" id="{71E8BA96-664D-4BB1-92EF-AA67A8E95A79}"/>
</xltc:personList>
</file>

<file path=xl/tables/table1.xml><?xml version="1.0" encoding="utf-8"?>
<x:table xmlns:x="http://schemas.openxmlformats.org/spreadsheetml/2006/main" id="1" name="InboxTracker" displayName="InboxTracker" ref="A4:O20" headerRowCount="1" totalsRowCount="0" totalsRowShown="0">
  <x:autoFilter ref="A4:O20"/>
  <x:tableColumns count="15">
    <x:tableColumn id="1" name="ID"/>
    <x:tableColumn id="2" name="Received"/>
    <x:tableColumn id="3" name="From"/>
    <x:tableColumn id="4" name="Company"/>
    <x:tableColumn id="5" name="Category"/>
    <x:tableColumn id="6" name="Priority"/>
    <x:tableColumn id="7" name="Subject"/>
    <x:tableColumn id="8" name="SLA Hrs"/>
    <x:tableColumn id="9" name="Due"/>
    <x:tableColumn id="10" name="Replied At"/>
    <x:tableColumn id="11" name="Status"/>
    <x:tableColumn id="12" name="SLA Status"/>
    <x:tableColumn id="13" name="Response Hrs"/>
    <x:tableColumn id="14" name="Next Action"/>
    <x:tableColumn id="15" name="Labe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lendarPlan" displayName="CalendarPlan" ref="A4:I16" headerRowCount="1" totalsRowCount="0" totalsRowShown="0">
  <x:autoFilter ref="A4:I16"/>
  <x:tableColumns count="9">
    <x:tableColumn id="1" name="Date"/>
    <x:tableColumn id="2" name="Time"/>
    <x:tableColumn id="3" name="Meeting"/>
    <x:tableColumn id="4" name="Stakeholder"/>
    <x:tableColumn id="5" name="Priority"/>
    <x:tableColumn id="6" name="Prep Needed"/>
    <x:tableColumn id="7" name="Status"/>
    <x:tableColumn id="8" name="Follow-up"/>
    <x:tableColumn id="9" name="Own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skBoard" displayName="TaskBoard" ref="A4:J18" headerRowCount="1" totalsRowCount="0" totalsRowShown="0">
  <x:autoFilter ref="A4:J18"/>
  <x:tableColumns count="10">
    <x:tableColumn id="1" name="Task ID"/>
    <x:tableColumn id="2" name="Workstream"/>
    <x:tableColumn id="3" name="Task"/>
    <x:tableColumn id="4" name="Priority"/>
    <x:tableColumn id="5" name="Owner"/>
    <x:tableColumn id="6" name="Due Date"/>
    <x:tableColumn id="7" name="Days Left"/>
    <x:tableColumn id="8" name="Status"/>
    <x:tableColumn id="9" name="Blocker / Note"/>
    <x:tableColumn id="10" name="Outpu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ollowUps" displayName="FollowUps" ref="A4:J17" headerRowCount="1" totalsRowCount="0" totalsRowShown="0">
  <x:autoFilter ref="A4:J17"/>
  <x:tableColumns count="10">
    <x:tableColumn id="1" name="Contact"/>
    <x:tableColumn id="2" name="Company"/>
    <x:tableColumn id="3" name="Type"/>
    <x:tableColumn id="4" name="Source"/>
    <x:tableColumn id="5" name="Last Contact"/>
    <x:tableColumn id="6" name="Next Follow-up"/>
    <x:tableColumn id="7" name="Days Until"/>
    <x:tableColumn id="8" name="Status"/>
    <x:tableColumn id="9" name="Outcome"/>
    <x:tableColumn id="10" name="Next Mess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d23ffdc77234e6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fd3becd6094d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f3c943b2fcd49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7de866230342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24a18cfa15847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12" hidden="0" customWidth="1"/>
    <x:col min="4" max="4" width="12" hidden="0" customWidth="1"/>
    <x:col min="5" max="5" width="3" hidden="0" customWidth="1"/>
    <x:col min="6" max="6" width="18" hidden="0" customWidth="1"/>
    <x:col min="7" max="7" width="12" hidden="0" customWidth="1"/>
    <x:col min="8" max="8" width="3" hidden="0" customWidth="1"/>
    <x:col min="9" max="9" width="18" hidden="0" customWidth="1"/>
    <x:col min="10" max="10" width="12" hidden="0" customWidth="1"/>
  </x:cols>
  <x:sheetData>
    <x:row r="1" ht="28" customHeight="1">
      <x:c r="A1" s="33" t="str">
        <x:v>Weekly Operations Dashboard</x:v>
      </x:c>
      <x:c r="B1" s="33" t="str">
        <x:v>Weekly Operations Dashboard</x:v>
      </x:c>
      <x:c r="C1" s="33" t="str">
        <x:v>Weekly Operations Dashboard</x:v>
      </x:c>
      <x:c r="D1" s="33" t="str">
        <x:v>Weekly Operations Dashboard</x:v>
      </x:c>
      <x:c r="E1" s="33" t="str">
        <x:v>Weekly Operations Dashboard</x:v>
      </x:c>
      <x:c r="F1" s="33" t="str">
        <x:v>Weekly Operations Dashboard</x:v>
      </x:c>
      <x:c r="G1" s="33" t="str">
        <x:v>Weekly Operations Dashboard</x:v>
      </x:c>
      <x:c r="H1" s="33" t="str">
        <x:v>Weekly Operations Dashboard</x:v>
      </x:c>
      <x:c r="I1" s="33" t="str">
        <x:v>Weekly Operations Dashboard</x:v>
      </x:c>
      <x:c r="J1" s="33" t="str">
        <x:v>Weekly Operations Dashboard</x:v>
      </x:c>
    </x:row>
    <x:row r="2" ht="36" customHeight="1">
      <x:c r="A2" s="7" t="str">
        <x:v>A practical VA dashboard built from the tracker tabs. Update the week dates and source rows; the metrics, tables, and charts refresh from formulas.</x:v>
      </x:c>
      <x:c r="B2" s="7" t="str">
        <x:v>A practical VA dashboard built from the tracker tabs. Update the week dates and source rows; the metrics, tables, and charts refresh from formulas.</x:v>
      </x:c>
      <x:c r="C2" s="7" t="str">
        <x:v>A practical VA dashboard built from the tracker tabs. Update the week dates and source rows; the metrics, tables, and charts refresh from formulas.</x:v>
      </x:c>
      <x:c r="D2" s="7" t="str">
        <x:v>A practical VA dashboard built from the tracker tabs. Update the week dates and source rows; the metrics, tables, and charts refresh from formulas.</x:v>
      </x:c>
      <x:c r="E2" s="7" t="str">
        <x:v>A practical VA dashboard built from the tracker tabs. Update the week dates and source rows; the metrics, tables, and charts refresh from formulas.</x:v>
      </x:c>
      <x:c r="F2" s="7" t="str">
        <x:v>A practical VA dashboard built from the tracker tabs. Update the week dates and source rows; the metrics, tables, and charts refresh from formulas.</x:v>
      </x:c>
      <x:c r="G2" s="7" t="str">
        <x:v>A practical VA dashboard built from the tracker tabs. Update the week dates and source rows; the metrics, tables, and charts refresh from formulas.</x:v>
      </x:c>
      <x:c r="H2" s="7" t="str">
        <x:v>A practical VA dashboard built from the tracker tabs. Update the week dates and source rows; the metrics, tables, and charts refresh from formulas.</x:v>
      </x:c>
      <x:c r="I2" s="7" t="str">
        <x:v>A practical VA dashboard built from the tracker tabs. Update the week dates and source rows; the metrics, tables, and charts refresh from formulas.</x:v>
      </x:c>
      <x:c r="J2" s="7" t="str">
        <x:v>A practical VA dashboard built from the tracker tabs. Update the week dates and source rows; the metrics, tables, and charts refresh from formulas.</x:v>
      </x:c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  <x:c r="J3" s="42"/>
    </x:row>
    <x:row r="4">
      <x:c r="A4" s="35" t="str">
        <x:v>Report start</x:v>
      </x:c>
      <x:c r="B4" s="36" t="n">
        <x:v>46216</x:v>
      </x:c>
      <x:c r="C4" s="42"/>
      <x:c r="D4" s="42"/>
      <x:c r="E4" s="42"/>
      <x:c r="F4" s="37" t="str">
        <x:v>Inbox Status</x:v>
      </x:c>
      <x:c r="G4" s="37" t="str">
        <x:v>Count</x:v>
      </x:c>
      <x:c r="H4" s="42"/>
      <x:c r="I4" s="37" t="str">
        <x:v>Inbox Category</x:v>
      </x:c>
      <x:c r="J4" s="37" t="str">
        <x:v>Count</x:v>
      </x:c>
    </x:row>
    <x:row r="5">
      <x:c r="A5" s="35" t="str">
        <x:v>Report end</x:v>
      </x:c>
      <x:c r="B5" s="36" t="n">
        <x:v>46222</x:v>
      </x:c>
      <x:c r="C5" s="42"/>
      <x:c r="D5" s="42"/>
      <x:c r="E5" s="42"/>
      <x:c r="F5" s="38" t="str">
        <x:v>Closed</x:v>
      </x:c>
      <x:c r="G5" s="38" t="n">
        <x:f>COUNTIF('Inbox Tracker'!K5:K20,F5)</x:f>
        <x:v>10</x:v>
      </x:c>
      <x:c r="H5" s="42"/>
      <x:c r="I5" s="38" t="str">
        <x:v>Client</x:v>
      </x:c>
      <x:c r="J5" s="38" t="n">
        <x:f>COUNTIF('Inbox Tracker'!E5:E20,I5)</x:f>
        <x:v>4</x:v>
      </x:c>
    </x:row>
    <x:row r="6">
      <x:c r="A6" s="35" t="str">
        <x:v>Owner</x:v>
      </x:c>
      <x:c r="B6" s="38" t="str">
        <x:v>Marc Mendoza</x:v>
      </x:c>
      <x:c r="C6" s="42"/>
      <x:c r="D6" s="42"/>
      <x:c r="E6" s="42"/>
      <x:c r="F6" s="38" t="str">
        <x:v>In Progress</x:v>
      </x:c>
      <x:c r="G6" s="38" t="n">
        <x:f>COUNTIF('Inbox Tracker'!K5:K20,F6)</x:f>
        <x:v>1</x:v>
      </x:c>
      <x:c r="H6" s="42"/>
      <x:c r="I6" s="38" t="str">
        <x:v>Executive</x:v>
      </x:c>
      <x:c r="J6" s="38" t="n">
        <x:f>COUNTIF('Inbox Tracker'!E5:E20,I6)</x:f>
        <x:v>2</x:v>
      </x:c>
    </x:row>
    <x:row r="7">
      <x:c r="A7" s="42"/>
      <x:c r="B7" s="42"/>
      <x:c r="C7" s="42"/>
      <x:c r="D7" s="42"/>
      <x:c r="E7" s="42"/>
      <x:c r="F7" s="38" t="str">
        <x:v>Waiting</x:v>
      </x:c>
      <x:c r="G7" s="38" t="n">
        <x:f>COUNTIF('Inbox Tracker'!K5:K20,F7)</x:f>
        <x:v>1</x:v>
      </x:c>
      <x:c r="H7" s="42"/>
      <x:c r="I7" s="38" t="str">
        <x:v>Technical</x:v>
      </x:c>
      <x:c r="J7" s="38" t="n">
        <x:f>COUNTIF('Inbox Tracker'!E5:E20,I7)</x:f>
        <x:v>3</x:v>
      </x:c>
    </x:row>
    <x:row r="8">
      <x:c r="A8" s="37" t="str">
        <x:v>Metric</x:v>
      </x:c>
      <x:c r="B8" s="37" t="str">
        <x:v>Actual</x:v>
      </x:c>
      <x:c r="C8" s="37" t="str">
        <x:v>Target</x:v>
      </x:c>
      <x:c r="D8" s="37" t="str">
        <x:v>Status</x:v>
      </x:c>
      <x:c r="E8" s="42"/>
      <x:c r="F8" s="38" t="str">
        <x:v>New</x:v>
      </x:c>
      <x:c r="G8" s="38" t="n">
        <x:f>COUNTIF('Inbox Tracker'!K5:K20,F8)</x:f>
        <x:v>2</x:v>
      </x:c>
      <x:c r="H8" s="42"/>
      <x:c r="I8" s="38" t="str">
        <x:v>Sales</x:v>
      </x:c>
      <x:c r="J8" s="38" t="n">
        <x:f>COUNTIF('Inbox Tracker'!E5:E20,I8)</x:f>
        <x:v>3</x:v>
      </x:c>
    </x:row>
    <x:row r="9">
      <x:c r="A9" s="39" t="str">
        <x:v>Inbox items received</x:v>
      </x:c>
      <x:c r="B9" s="38" t="n">
        <x:f>COUNTA('Inbox Tracker'!A5:A20)</x:f>
        <x:v>16</x:v>
      </x:c>
      <x:c r="C9" s="38" t="n">
        <x:v>16</x:v>
      </x:c>
      <x:c r="D9" s="38" t="str">
        <x:f>IF(B9&gt;=C9,"OK","Check")</x:f>
        <x:v>OK</x:v>
      </x:c>
      <x:c r="E9" s="42"/>
      <x:c r="F9" s="38" t="str">
        <x:v>Escalated</x:v>
      </x:c>
      <x:c r="G9" s="38" t="n">
        <x:f>COUNTIF('Inbox Tracker'!K5:K20,F9)</x:f>
        <x:v>1</x:v>
      </x:c>
      <x:c r="H9" s="42"/>
      <x:c r="I9" s="38" t="str">
        <x:v>Finance</x:v>
      </x:c>
      <x:c r="J9" s="38" t="n">
        <x:f>COUNTIF('Inbox Tracker'!E5:E20,I9)</x:f>
        <x:v>1</x:v>
      </x:c>
    </x:row>
    <x:row r="10">
      <x:c r="A10" s="39" t="str">
        <x:v>Inbox items closed</x:v>
      </x:c>
      <x:c r="B10" s="38" t="n">
        <x:f>COUNTIF('Inbox Tracker'!K5:K20,"Closed")</x:f>
        <x:v>10</x:v>
      </x:c>
      <x:c r="C10" s="38" t="n">
        <x:v>10</x:v>
      </x:c>
      <x:c r="D10" s="38" t="str">
        <x:f>IF(B10&gt;=C10,"OK","Check")</x:f>
        <x:v>OK</x:v>
      </x:c>
      <x:c r="E10" s="42"/>
      <x:c r="F10" s="38" t="str">
        <x:v>Drafted</x:v>
      </x:c>
      <x:c r="G10" s="38" t="n">
        <x:f>COUNTIF('Inbox Tracker'!K5:K20,F10)</x:f>
        <x:v>1</x:v>
      </x:c>
      <x:c r="H10" s="42"/>
      <x:c r="I10" s="38" t="str">
        <x:v>Internal</x:v>
      </x:c>
      <x:c r="J10" s="38" t="n">
        <x:f>COUNTIF('Inbox Tracker'!E5:E20,I10)</x:f>
        <x:v>3</x:v>
      </x:c>
    </x:row>
    <x:row r="11">
      <x:c r="A11" s="39" t="str">
        <x:v>Open inbox items</x:v>
      </x:c>
      <x:c r="B11" s="38" t="n">
        <x:f>B9-B10</x:f>
        <x:v>6</x:v>
      </x:c>
      <x:c r="C11" s="38" t="n">
        <x:v>6</x:v>
      </x:c>
      <x:c r="D11" s="38" t="str">
        <x:f>IF(B11&lt;=C11,"OK","Check")</x:f>
        <x:v>OK</x:v>
      </x:c>
      <x:c r="E11" s="42"/>
      <x:c r="F11" s="42"/>
      <x:c r="G11" s="42"/>
      <x:c r="H11" s="42"/>
      <x:c r="I11" s="42"/>
      <x:c r="J11" s="42"/>
    </x:row>
    <x:row r="12">
      <x:c r="A12" s="39" t="str">
        <x:v>SLA compliance</x:v>
      </x:c>
      <x:c r="B12" s="40" t="n">
        <x:f>IFERROR(COUNTIF('Inbox Tracker'!L5:L20,"On Time")/(COUNTIF('Inbox Tracker'!L5:L20,"On Time")+COUNTIF('Inbox Tracker'!L5:L20,"Late")),0)</x:f>
        <x:v>1</x:v>
      </x:c>
      <x:c r="C12" s="40" t="n">
        <x:v>0.85</x:v>
      </x:c>
      <x:c r="D12" s="38" t="str">
        <x:f>IF(B12&gt;=C12,"OK","Check")</x:f>
        <x:v>OK</x:v>
      </x:c>
      <x:c r="E12" s="42"/>
      <x:c r="F12" s="42"/>
      <x:c r="G12" s="42"/>
      <x:c r="H12" s="42"/>
      <x:c r="I12" s="42"/>
      <x:c r="J12" s="42"/>
    </x:row>
    <x:row r="13">
      <x:c r="A13" s="39" t="str">
        <x:v>Average response hours</x:v>
      </x:c>
      <x:c r="B13" s="41" t="n">
        <x:f>IFERROR(AVERAGEIF('Inbox Tracker'!K5:K20,"Closed",'Inbox Tracker'!M5:M20),0)</x:f>
        <x:v>7.441666666633682</x:v>
      </x:c>
      <x:c r="C13" s="41" t="n">
        <x:v>8</x:v>
      </x:c>
      <x:c r="D13" s="38" t="str">
        <x:f>IF(B13&lt;=C13,"OK","Check")</x:f>
        <x:v>OK</x:v>
      </x:c>
      <x:c r="E13" s="42"/>
      <x:c r="F13" s="37" t="str">
        <x:v>Task Status</x:v>
      </x:c>
      <x:c r="G13" s="37" t="str">
        <x:v>Count</x:v>
      </x:c>
      <x:c r="H13" s="42"/>
      <x:c r="I13" s="42"/>
      <x:c r="J13" s="42"/>
    </x:row>
    <x:row r="14">
      <x:c r="A14" s="39" t="str">
        <x:v>High priority open</x:v>
      </x:c>
      <x:c r="B14" s="38" t="n">
        <x:f>COUNTIFS('Inbox Tracker'!F5:F20,"High",'Inbox Tracker'!K5:K20,"&lt;&gt;Closed")</x:f>
        <x:v>2</x:v>
      </x:c>
      <x:c r="C14" s="38" t="n">
        <x:v>2</x:v>
      </x:c>
      <x:c r="D14" s="38" t="str">
        <x:f>IF(B14&lt;=C14,"OK","Check")</x:f>
        <x:v>OK</x:v>
      </x:c>
      <x:c r="E14" s="42"/>
      <x:c r="F14" s="38" t="str">
        <x:v>Done</x:v>
      </x:c>
      <x:c r="G14" s="38" t="n">
        <x:f>COUNTIF('Task Board'!H5:H18,F14)</x:f>
        <x:v>6</x:v>
      </x:c>
      <x:c r="H14" s="42"/>
      <x:c r="I14" s="42"/>
      <x:c r="J14" s="42"/>
    </x:row>
    <x:row r="15">
      <x:c r="A15" s="39" t="str">
        <x:v>Meetings confirmed</x:v>
      </x:c>
      <x:c r="B15" s="38" t="n">
        <x:f>COUNTIF('Calendar'!G5:G16,"Confirmed")</x:f>
        <x:v>8</x:v>
      </x:c>
      <x:c r="C15" s="38" t="n">
        <x:v>7</x:v>
      </x:c>
      <x:c r="D15" s="38" t="str">
        <x:f>IF(B15&gt;=C15,"OK","Check")</x:f>
        <x:v>OK</x:v>
      </x:c>
      <x:c r="E15" s="42"/>
      <x:c r="F15" s="38" t="str">
        <x:v>In Progress</x:v>
      </x:c>
      <x:c r="G15" s="38" t="n">
        <x:f>COUNTIF('Task Board'!H5:H18,F15)</x:f>
        <x:v>5</x:v>
      </x:c>
      <x:c r="H15" s="42"/>
      <x:c r="I15" s="42"/>
      <x:c r="J15" s="42"/>
    </x:row>
    <x:row r="16">
      <x:c r="A16" s="39" t="str">
        <x:v>Overdue tasks</x:v>
      </x:c>
      <x:c r="B16" s="38" t="n">
        <x:f>COUNTIFS('Task Board'!G5:G18,"&lt;0",'Task Board'!H5:H18,"&lt;&gt;Done")</x:f>
        <x:v>3</x:v>
      </x:c>
      <x:c r="C16" s="38" t="n">
        <x:v>0</x:v>
      </x:c>
      <x:c r="D16" s="38" t="str">
        <x:f>IF(B16&lt;=C16,"OK","Check")</x:f>
        <x:v>Check</x:v>
      </x:c>
      <x:c r="E16" s="42"/>
      <x:c r="F16" s="38" t="str">
        <x:v>Waiting</x:v>
      </x:c>
      <x:c r="G16" s="38" t="n">
        <x:f>COUNTIF('Task Board'!H5:H18,F16)</x:f>
        <x:v>3</x:v>
      </x:c>
      <x:c r="H16" s="42"/>
      <x:c r="I16" s="42"/>
      <x:c r="J16" s="42"/>
    </x:row>
    <x:row r="17">
      <x:c r="A17" s="39" t="str">
        <x:v>Open follow-ups due</x:v>
      </x:c>
      <x:c r="B17" s="38" t="n">
        <x:f>COUNTIFS('Follow-ups'!F5:F17,"&lt;="&amp;'Dashboard'!$B$5,'Follow-ups'!H5:H17,"&lt;&gt;Closed")</x:f>
        <x:v>1</x:v>
      </x:c>
      <x:c r="C17" s="38" t="n">
        <x:v>0</x:v>
      </x:c>
      <x:c r="D17" s="38" t="str">
        <x:f>IF(B17&lt;=C17,"OK","Check")</x:f>
        <x:v>Check</x:v>
      </x:c>
      <x:c r="E17" s="42"/>
      <x:c r="F17" s="38" t="str">
        <x:v>Blocked</x:v>
      </x:c>
      <x:c r="G17" s="38" t="n">
        <x:f>COUNTIF('Task Board'!H5:H18,F17)</x:f>
        <x:v>0</x:v>
      </x:c>
      <x:c r="H17" s="42"/>
      <x:c r="I17" s="42"/>
      <x:c r="J17" s="42"/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1d23ffdc77234e6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27" hidden="0" customWidth="1"/>
    <x:col min="4" max="4" width="18" hidden="0" customWidth="1"/>
    <x:col min="5" max="5" width="14" hidden="0" customWidth="1"/>
    <x:col min="6" max="6" width="11" hidden="0" customWidth="1"/>
    <x:col min="7" max="7" width="28" hidden="0" customWidth="1"/>
    <x:col min="8" max="8" width="9" hidden="0" customWidth="1"/>
    <x:col min="9" max="9" width="18" hidden="0" customWidth="1"/>
    <x:col min="10" max="10" width="18" hidden="0" customWidth="1"/>
    <x:col min="11" max="11" width="13" hidden="0" customWidth="1"/>
    <x:col min="12" max="12" width="12" hidden="0" customWidth="1"/>
    <x:col min="13" max="13" width="11" hidden="0" customWidth="1"/>
    <x:col min="14" max="14" width="32" hidden="0" customWidth="1"/>
    <x:col min="15" max="15" width="20" hidden="0" customWidth="1"/>
  </x:cols>
  <x:sheetData>
    <x:row r="1" ht="28" customHeight="1">
      <x:c r="A1" s="33" t="str">
        <x:v>Inbox Tracker</x:v>
      </x:c>
      <x:c r="B1" s="33" t="str">
        <x:v>Inbox Tracker</x:v>
      </x:c>
      <x:c r="C1" s="33" t="str">
        <x:v>Inbox Tracker</x:v>
      </x:c>
      <x:c r="D1" s="33" t="str">
        <x:v>Inbox Tracker</x:v>
      </x:c>
      <x:c r="E1" s="33" t="str">
        <x:v>Inbox Tracker</x:v>
      </x:c>
      <x:c r="F1" s="33" t="str">
        <x:v>Inbox Tracker</x:v>
      </x:c>
      <x:c r="G1" s="33" t="str">
        <x:v>Inbox Tracker</x:v>
      </x:c>
      <x:c r="H1" s="33" t="str">
        <x:v>Inbox Tracker</x:v>
      </x:c>
      <x:c r="I1" s="33" t="str">
        <x:v>Inbox Tracker</x:v>
      </x:c>
      <x:c r="J1" s="33" t="str">
        <x:v>Inbox Tracker</x:v>
      </x:c>
      <x:c r="K1" s="33" t="str">
        <x:v>Inbox Tracker</x:v>
      </x:c>
      <x:c r="L1" s="33" t="str">
        <x:v>Inbox Tracker</x:v>
      </x:c>
      <x:c r="M1" s="33" t="str">
        <x:v>Inbox Tracker</x:v>
      </x:c>
      <x:c r="N1" s="33" t="str">
        <x:v>Inbox Tracker</x:v>
      </x:c>
      <x:c r="O1" s="33" t="str">
        <x:v>Inbox Tracker</x:v>
      </x:c>
    </x:row>
    <x:row r="2" ht="36" customHeight="1">
      <x:c r="A2" s="7" t="str">
        <x:v>Daily inbox triage log. The useful spreadsheet work is in the SLA due-time formulas, response-hour calculations, status dropdowns, and dashboard summaries.</x:v>
      </x:c>
      <x:c r="B2" s="7" t="str">
        <x:v>Daily inbox triage log. The useful spreadsheet work is in the SLA due-time formulas, response-hour calculations, status dropdowns, and dashboard summaries.</x:v>
      </x:c>
      <x:c r="C2" s="7" t="str">
        <x:v>Daily inbox triage log. The useful spreadsheet work is in the SLA due-time formulas, response-hour calculations, status dropdowns, and dashboard summaries.</x:v>
      </x:c>
      <x:c r="D2" s="7" t="str">
        <x:v>Daily inbox triage log. The useful spreadsheet work is in the SLA due-time formulas, response-hour calculations, status dropdowns, and dashboard summaries.</x:v>
      </x:c>
      <x:c r="E2" s="7" t="str">
        <x:v>Daily inbox triage log. The useful spreadsheet work is in the SLA due-time formulas, response-hour calculations, status dropdowns, and dashboard summaries.</x:v>
      </x:c>
      <x:c r="F2" s="7" t="str">
        <x:v>Daily inbox triage log. The useful spreadsheet work is in the SLA due-time formulas, response-hour calculations, status dropdowns, and dashboard summaries.</x:v>
      </x:c>
      <x:c r="G2" s="7" t="str">
        <x:v>Daily inbox triage log. The useful spreadsheet work is in the SLA due-time formulas, response-hour calculations, status dropdowns, and dashboard summaries.</x:v>
      </x:c>
      <x:c r="H2" s="7" t="str">
        <x:v>Daily inbox triage log. The useful spreadsheet work is in the SLA due-time formulas, response-hour calculations, status dropdowns, and dashboard summaries.</x:v>
      </x:c>
      <x:c r="I2" s="7" t="str">
        <x:v>Daily inbox triage log. The useful spreadsheet work is in the SLA due-time formulas, response-hour calculations, status dropdowns, and dashboard summaries.</x:v>
      </x:c>
      <x:c r="J2" s="7" t="str">
        <x:v>Daily inbox triage log. The useful spreadsheet work is in the SLA due-time formulas, response-hour calculations, status dropdowns, and dashboard summaries.</x:v>
      </x:c>
      <x:c r="K2" s="7" t="str">
        <x:v>Daily inbox triage log. The useful spreadsheet work is in the SLA due-time formulas, response-hour calculations, status dropdowns, and dashboard summaries.</x:v>
      </x:c>
      <x:c r="L2" s="7" t="str">
        <x:v>Daily inbox triage log. The useful spreadsheet work is in the SLA due-time formulas, response-hour calculations, status dropdowns, and dashboard summaries.</x:v>
      </x:c>
      <x:c r="M2" s="7" t="str">
        <x:v>Daily inbox triage log. The useful spreadsheet work is in the SLA due-time formulas, response-hour calculations, status dropdowns, and dashboard summaries.</x:v>
      </x:c>
      <x:c r="N2" s="7" t="str">
        <x:v>Daily inbox triage log. The useful spreadsheet work is in the SLA due-time formulas, response-hour calculations, status dropdowns, and dashboard summaries.</x:v>
      </x:c>
      <x:c r="O2" s="7" t="str">
        <x:v>Daily inbox triage log. The useful spreadsheet work is in the SLA due-time formulas, response-hour calculations, status dropdowns, and dashboard summaries.</x:v>
      </x:c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  <x:c r="N3" s="42"/>
      <x:c r="O3" s="42"/>
    </x:row>
    <x:row r="4">
      <x:c r="A4" s="37" t="str">
        <x:v>ID</x:v>
      </x:c>
      <x:c r="B4" s="37" t="str">
        <x:v>Received</x:v>
      </x:c>
      <x:c r="C4" s="37" t="str">
        <x:v>From</x:v>
      </x:c>
      <x:c r="D4" s="37" t="str">
        <x:v>Company</x:v>
      </x:c>
      <x:c r="E4" s="37" t="str">
        <x:v>Category</x:v>
      </x:c>
      <x:c r="F4" s="37" t="str">
        <x:v>Priority</x:v>
      </x:c>
      <x:c r="G4" s="37" t="str">
        <x:v>Subject</x:v>
      </x:c>
      <x:c r="H4" s="37" t="str">
        <x:v>SLA Hrs</x:v>
      </x:c>
      <x:c r="I4" s="37" t="str">
        <x:v>Due</x:v>
      </x:c>
      <x:c r="J4" s="37" t="str">
        <x:v>Replied At</x:v>
      </x:c>
      <x:c r="K4" s="37" t="str">
        <x:v>Status</x:v>
      </x:c>
      <x:c r="L4" s="37" t="str">
        <x:v>SLA Status</x:v>
      </x:c>
      <x:c r="M4" s="37" t="str">
        <x:v>Response Hrs</x:v>
      </x:c>
      <x:c r="N4" s="37" t="str">
        <x:v>Next Action</x:v>
      </x:c>
      <x:c r="O4" s="37" t="str">
        <x:v>Label</x:v>
      </x:c>
    </x:row>
    <x:row r="5">
      <x:c r="A5" s="38" t="str">
        <x:v>IN-001</x:v>
      </x:c>
      <x:c r="B5" s="43" t="n">
        <x:v>46216.006944444445</x:v>
      </x:c>
      <x:c r="C5" s="38" t="str">
        <x:v>client@school.org</x:v>
      </x:c>
      <x:c r="D5" s="38" t="str">
        <x:v>HSHR</x:v>
      </x:c>
      <x:c r="E5" s="38" t="str">
        <x:v>Client</x:v>
      </x:c>
      <x:c r="F5" s="38" t="str">
        <x:v>High</x:v>
      </x:c>
      <x:c r="G5" s="44" t="str">
        <x:v>Landing page copy revision</x:v>
      </x:c>
      <x:c r="H5" s="38" t="n">
        <x:v>4</x:v>
      </x:c>
      <x:c r="I5" s="43" t="n">
        <x:f>B5+H5/24</x:f>
        <x:v>46216.17361111111</x:v>
      </x:c>
      <x:c r="J5" s="43" t="n">
        <x:v>46216.09375</x:v>
      </x:c>
      <x:c r="K5" s="38" t="str">
        <x:v>Closed</x:v>
      </x:c>
      <x:c r="L5" s="38" t="str">
        <x:f>IF(K5="Closed",IF(J5&lt;=I5,"On Time","Late"),IF(I5&lt;'Dashboard'!$B$5,"Overdue","Open"))</x:f>
        <x:v>On Time</x:v>
      </x:c>
      <x:c r="M5" s="41" t="n">
        <x:f>IF(K5="Closed",(J5-B5)*24,"")</x:f>
        <x:v>2.083333333313931</x:v>
      </x:c>
      <x:c r="N5" s="44" t="str">
        <x:v>Send revised copy and archive thread</x:v>
      </x:c>
      <x:c r="O5" s="38" t="str">
        <x:v>Client - HSHR</x:v>
      </x:c>
    </x:row>
    <x:row r="6">
      <x:c r="A6" s="38" t="str">
        <x:v>IN-002</x:v>
      </x:c>
      <x:c r="B6" s="43" t="n">
        <x:v>46216.024305555555</x:v>
      </x:c>
      <x:c r="C6" s="38" t="str">
        <x:v>ops@tochigami.com</x:v>
      </x:c>
      <x:c r="D6" s="38" t="str">
        <x:v>Tochigami</x:v>
      </x:c>
      <x:c r="E6" s="38" t="str">
        <x:v>Executive</x:v>
      </x:c>
      <x:c r="F6" s="38" t="str">
        <x:v>High</x:v>
      </x:c>
      <x:c r="G6" s="44" t="str">
        <x:v>Monday priorities</x:v>
      </x:c>
      <x:c r="H6" s="38" t="n">
        <x:v>2</x:v>
      </x:c>
      <x:c r="I6" s="43" t="n">
        <x:f>B6+H6/24</x:f>
        <x:v>46216.10763888889</x:v>
      </x:c>
      <x:c r="J6" s="43" t="n">
        <x:v>46216.055555555555</x:v>
      </x:c>
      <x:c r="K6" s="38" t="str">
        <x:v>Closed</x:v>
      </x:c>
      <x:c r="L6" s="38" t="str">
        <x:f>IF(K6="Closed",IF(J6&lt;=I6,"On Time","Late"),IF(I6&lt;'Dashboard'!$B$5,"Overdue","Open"))</x:f>
        <x:v>On Time</x:v>
      </x:c>
      <x:c r="M6" s="41" t="n">
        <x:f>IF(K6="Closed",(J6-B6)*24,"")</x:f>
        <x:v>0.75</x:v>
      </x:c>
      <x:c r="N6" s="44" t="str">
        <x:v>Attach agenda to calendar invite</x:v>
      </x:c>
      <x:c r="O6" s="38" t="str">
        <x:v>Executive Ops</x:v>
      </x:c>
    </x:row>
    <x:row r="7">
      <x:c r="A7" s="38" t="str">
        <x:v>IN-003</x:v>
      </x:c>
      <x:c r="B7" s="43" t="n">
        <x:v>46216.055555555555</x:v>
      </x:c>
      <x:c r="C7" s="38" t="str">
        <x:v>support@hostinger.com</x:v>
      </x:c>
      <x:c r="D7" s="38" t="str">
        <x:v>Hostinger</x:v>
      </x:c>
      <x:c r="E7" s="38" t="str">
        <x:v>Technical</x:v>
      </x:c>
      <x:c r="F7" s="38" t="str">
        <x:v>Medium</x:v>
      </x:c>
      <x:c r="G7" s="44" t="str">
        <x:v>SSL check</x:v>
      </x:c>
      <x:c r="H7" s="38" t="n">
        <x:v>12</x:v>
      </x:c>
      <x:c r="I7" s="43" t="n">
        <x:f>B7+H7/24</x:f>
        <x:v>46216.555555555555</x:v>
      </x:c>
      <x:c r="J7" s="43"/>
      <x:c r="K7" s="38" t="str">
        <x:v>In Progress</x:v>
      </x:c>
      <x:c r="L7" s="38" t="str">
        <x:f>IF(K7="Closed",IF(J7&lt;=I7,"On Time","Late"),IF(I7&lt;'Dashboard'!$B$5,"Overdue","Open"))</x:f>
        <x:v>Overdue</x:v>
      </x:c>
      <x:c r="M7" s="41" t="str">
        <x:f>IF(K7="Closed",(J7-B7)*24,"")</x:f>
      </x:c>
      <x:c r="N7" s="44" t="str">
        <x:v>Check DNS and reply with screenshot</x:v>
      </x:c>
      <x:c r="O7" s="38" t="str">
        <x:v>Technical</x:v>
      </x:c>
    </x:row>
    <x:row r="8">
      <x:c r="A8" s="38" t="str">
        <x:v>IN-004</x:v>
      </x:c>
      <x:c r="B8" s="43" t="n">
        <x:v>46216.114583333336</x:v>
      </x:c>
      <x:c r="C8" s="38" t="str">
        <x:v>lead@example.com</x:v>
      </x:c>
      <x:c r="D8" s="38" t="str">
        <x:v>Florida Services</x:v>
      </x:c>
      <x:c r="E8" s="38" t="str">
        <x:v>Sales</x:v>
      </x:c>
      <x:c r="F8" s="38" t="str">
        <x:v>Medium</x:v>
      </x:c>
      <x:c r="G8" s="44" t="str">
        <x:v>Discovery call request</x:v>
      </x:c>
      <x:c r="H8" s="38" t="n">
        <x:v>24</x:v>
      </x:c>
      <x:c r="I8" s="43" t="n">
        <x:f>B8+H8/24</x:f>
        <x:v>46217.114583333336</x:v>
      </x:c>
      <x:c r="J8" s="43" t="n">
        <x:v>46216.333333333336</x:v>
      </x:c>
      <x:c r="K8" s="38" t="str">
        <x:v>Closed</x:v>
      </x:c>
      <x:c r="L8" s="38" t="str">
        <x:f>IF(K8="Closed",IF(J8&lt;=I8,"On Time","Late"),IF(I8&lt;'Dashboard'!$B$5,"Overdue","Open"))</x:f>
        <x:v>On Time</x:v>
      </x:c>
      <x:c r="M8" s="41" t="n">
        <x:f>IF(K8="Closed",(J8-B8)*24,"")</x:f>
        <x:v>5.25</x:v>
      </x:c>
      <x:c r="N8" s="44" t="str">
        <x:v>Book call and create CRM note</x:v>
      </x:c>
      <x:c r="O8" s="38" t="str">
        <x:v>Leads</x:v>
      </x:c>
    </x:row>
    <x:row r="9">
      <x:c r="A9" s="38" t="str">
        <x:v>IN-005</x:v>
      </x:c>
      <x:c r="B9" s="43" t="n">
        <x:v>46216.99652777778</x:v>
      </x:c>
      <x:c r="C9" s="38" t="str">
        <x:v>alerts@firebase.com</x:v>
      </x:c>
      <x:c r="D9" s="38" t="str">
        <x:v>Firebase</x:v>
      </x:c>
      <x:c r="E9" s="38" t="str">
        <x:v>Technical</x:v>
      </x:c>
      <x:c r="F9" s="38" t="str">
        <x:v>High</x:v>
      </x:c>
      <x:c r="G9" s="44" t="str">
        <x:v>Rules warning</x:v>
      </x:c>
      <x:c r="H9" s="38" t="n">
        <x:v>4</x:v>
      </x:c>
      <x:c r="I9" s="43" t="n">
        <x:f>B9+H9/24</x:f>
        <x:v>46217.163194444445</x:v>
      </x:c>
      <x:c r="J9" s="43" t="n">
        <x:v>46217.12847222222</x:v>
      </x:c>
      <x:c r="K9" s="38" t="str">
        <x:v>Closed</x:v>
      </x:c>
      <x:c r="L9" s="38" t="str">
        <x:f>IF(K9="Closed",IF(J9&lt;=I9,"On Time","Late"),IF(I9&lt;'Dashboard'!$B$5,"Overdue","Open"))</x:f>
        <x:v>On Time</x:v>
      </x:c>
      <x:c r="M9" s="41" t="n">
        <x:f>IF(K9="Closed",(J9-B9)*24,"")</x:f>
        <x:v>3.1666666665114462</x:v>
      </x:c>
      <x:c r="N9" s="44" t="str">
        <x:v>Log warning in tech notes</x:v>
      </x:c>
      <x:c r="O9" s="38" t="str">
        <x:v>Technical</x:v>
      </x:c>
    </x:row>
    <x:row r="10">
      <x:c r="A10" s="38" t="str">
        <x:v>IN-006</x:v>
      </x:c>
      <x:c r="B10" s="43" t="n">
        <x:v>46217.177083333336</x:v>
      </x:c>
      <x:c r="C10" s="38" t="str">
        <x:v>community@client.co.uk</x:v>
      </x:c>
      <x:c r="D10" s="38" t="str">
        <x:v>UK Client</x:v>
      </x:c>
      <x:c r="E10" s="38" t="str">
        <x:v>Client</x:v>
      </x:c>
      <x:c r="F10" s="38" t="str">
        <x:v>Medium</x:v>
      </x:c>
      <x:c r="G10" s="44" t="str">
        <x:v>Content calendar approval</x:v>
      </x:c>
      <x:c r="H10" s="38" t="n">
        <x:v>12</x:v>
      </x:c>
      <x:c r="I10" s="43" t="n">
        <x:f>B10+H10/24</x:f>
        <x:v>46217.677083333336</x:v>
      </x:c>
      <x:c r="J10" s="43"/>
      <x:c r="K10" s="38" t="str">
        <x:v>Drafted</x:v>
      </x:c>
      <x:c r="L10" s="38" t="str">
        <x:f>IF(K10="Closed",IF(J10&lt;=I10,"On Time","Late"),IF(I10&lt;'Dashboard'!$B$5,"Overdue","Open"))</x:f>
        <x:v>Overdue</x:v>
      </x:c>
      <x:c r="M10" s="41" t="str">
        <x:f>IF(K10="Closed",(J10-B10)*24,"")</x:f>
      </x:c>
      <x:c r="N10" s="44" t="str">
        <x:v>Draft reply for approval</x:v>
      </x:c>
      <x:c r="O10" s="38" t="str">
        <x:v>Client - Community</x:v>
      </x:c>
    </x:row>
    <x:row r="11">
      <x:c r="A11" s="38" t="str">
        <x:v>IN-007</x:v>
      </x:c>
      <x:c r="B11" s="43" t="n">
        <x:v>46217.319444444445</x:v>
      </x:c>
      <x:c r="C11" s="38" t="str">
        <x:v>admin@client.com</x:v>
      </x:c>
      <x:c r="D11" s="38" t="str">
        <x:v>Direct Client</x:v>
      </x:c>
      <x:c r="E11" s="38" t="str">
        <x:v>Internal</x:v>
      </x:c>
      <x:c r="F11" s="38" t="str">
        <x:v>Low</x:v>
      </x:c>
      <x:c r="G11" s="44" t="str">
        <x:v>File organization request</x:v>
      </x:c>
      <x:c r="H11" s="38" t="n">
        <x:v>48</x:v>
      </x:c>
      <x:c r="I11" s="43" t="n">
        <x:f>B11+H11/24</x:f>
        <x:v>46219.319444444445</x:v>
      </x:c>
      <x:c r="J11" s="43" t="n">
        <x:v>46218.09722222222</x:v>
      </x:c>
      <x:c r="K11" s="38" t="str">
        <x:v>Closed</x:v>
      </x:c>
      <x:c r="L11" s="38" t="str">
        <x:f>IF(K11="Closed",IF(J11&lt;=I11,"On Time","Late"),IF(I11&lt;'Dashboard'!$B$5,"Overdue","Open"))</x:f>
        <x:v>On Time</x:v>
      </x:c>
      <x:c r="M11" s="41" t="n">
        <x:f>IF(K11="Closed",(J11-B11)*24,"")</x:f>
        <x:v>18.666666666569654</x:v>
      </x:c>
      <x:c r="N11" s="44" t="str">
        <x:v>Move completed files</x:v>
      </x:c>
      <x:c r="O11" s="38" t="str">
        <x:v>Admin</x:v>
      </x:c>
    </x:row>
    <x:row r="12">
      <x:c r="A12" s="38" t="str">
        <x:v>IN-008</x:v>
      </x:c>
      <x:c r="B12" s="43" t="n">
        <x:v>46218.01736111111</x:v>
      </x:c>
      <x:c r="C12" s="38" t="str">
        <x:v>prospect-a@example.com</x:v>
      </x:c>
      <x:c r="D12" s="38" t="str">
        <x:v>Prospect A</x:v>
      </x:c>
      <x:c r="E12" s="38" t="str">
        <x:v>Sales</x:v>
      </x:c>
      <x:c r="F12" s="38" t="str">
        <x:v>High</x:v>
      </x:c>
      <x:c r="G12" s="44" t="str">
        <x:v>Follow-up on pricing</x:v>
      </x:c>
      <x:c r="H12" s="38" t="n">
        <x:v>6</x:v>
      </x:c>
      <x:c r="I12" s="43" t="n">
        <x:f>B12+H12/24</x:f>
        <x:v>46218.26736111111</x:v>
      </x:c>
      <x:c r="J12" s="43"/>
      <x:c r="K12" s="38" t="str">
        <x:v>Waiting</x:v>
      </x:c>
      <x:c r="L12" s="38" t="str">
        <x:f>IF(K12="Closed",IF(J12&lt;=I12,"On Time","Late"),IF(I12&lt;'Dashboard'!$B$5,"Overdue","Open"))</x:f>
        <x:v>Overdue</x:v>
      </x:c>
      <x:c r="M12" s="41" t="str">
        <x:f>IF(K12="Closed",(J12-B12)*24,"")</x:f>
      </x:c>
      <x:c r="N12" s="44" t="str">
        <x:v>Follow up tomorrow morning</x:v>
      </x:c>
      <x:c r="O12" s="38" t="str">
        <x:v>Leads</x:v>
      </x:c>
    </x:row>
    <x:row r="13">
      <x:c r="A13" s="38" t="str">
        <x:v>IN-009</x:v>
      </x:c>
      <x:c r="B13" s="43" t="n">
        <x:v>46218.04861111111</x:v>
      </x:c>
      <x:c r="C13" s="38" t="str">
        <x:v>github@example.com</x:v>
      </x:c>
      <x:c r="D13" s="38" t="str">
        <x:v>GitHub</x:v>
      </x:c>
      <x:c r="E13" s="38" t="str">
        <x:v>Technical</x:v>
      </x:c>
      <x:c r="F13" s="38" t="str">
        <x:v>Medium</x:v>
      </x:c>
      <x:c r="G13" s="44" t="str">
        <x:v>Repo access confirmation</x:v>
      </x:c>
      <x:c r="H13" s="38" t="n">
        <x:v>24</x:v>
      </x:c>
      <x:c r="I13" s="43" t="n">
        <x:f>B13+H13/24</x:f>
        <x:v>46219.04861111111</x:v>
      </x:c>
      <x:c r="J13" s="43" t="n">
        <x:v>46218.399305555555</x:v>
      </x:c>
      <x:c r="K13" s="38" t="str">
        <x:v>Closed</x:v>
      </x:c>
      <x:c r="L13" s="38" t="str">
        <x:f>IF(K13="Closed",IF(J13&lt;=I13,"On Time","Late"),IF(I13&lt;'Dashboard'!$B$5,"Overdue","Open"))</x:f>
        <x:v>On Time</x:v>
      </x:c>
      <x:c r="M13" s="41" t="n">
        <x:f>IF(K13="Closed",(J13-B13)*24,"")</x:f>
        <x:v>8.41666666668607</x:v>
      </x:c>
      <x:c r="N13" s="44" t="str">
        <x:v>Confirm invite accepted</x:v>
      </x:c>
      <x:c r="O13" s="38" t="str">
        <x:v>Technical</x:v>
      </x:c>
    </x:row>
    <x:row r="14">
      <x:c r="A14" s="38" t="str">
        <x:v>IN-010</x:v>
      </x:c>
      <x:c r="B14" s="43" t="n">
        <x:v>46218.145833333336</x:v>
      </x:c>
      <x:c r="C14" s="38" t="str">
        <x:v>finance@example.com</x:v>
      </x:c>
      <x:c r="D14" s="38" t="str">
        <x:v>Client Finance</x:v>
      </x:c>
      <x:c r="E14" s="38" t="str">
        <x:v>Finance</x:v>
      </x:c>
      <x:c r="F14" s="38" t="str">
        <x:v>Medium</x:v>
      </x:c>
      <x:c r="G14" s="44" t="str">
        <x:v>Weekly report attachment</x:v>
      </x:c>
      <x:c r="H14" s="38" t="n">
        <x:v>24</x:v>
      </x:c>
      <x:c r="I14" s="43" t="n">
        <x:f>B14+H14/24</x:f>
        <x:v>46219.145833333336</x:v>
      </x:c>
      <x:c r="J14" s="43" t="n">
        <x:v>46218.5625</x:v>
      </x:c>
      <x:c r="K14" s="38" t="str">
        <x:v>Closed</x:v>
      </x:c>
      <x:c r="L14" s="38" t="str">
        <x:f>IF(K14="Closed",IF(J14&lt;=I14,"On Time","Late"),IF(I14&lt;'Dashboard'!$B$5,"Overdue","Open"))</x:f>
        <x:v>On Time</x:v>
      </x:c>
      <x:c r="M14" s="41" t="n">
        <x:f>IF(K14="Closed",(J14-B14)*24,"")</x:f>
        <x:v>9.999999999941792</x:v>
      </x:c>
      <x:c r="N14" s="44" t="str">
        <x:v>Send final report PDF</x:v>
      </x:c>
      <x:c r="O14" s="38" t="str">
        <x:v>Finance</x:v>
      </x:c>
    </x:row>
    <x:row r="15">
      <x:c r="A15" s="38" t="str">
        <x:v>IN-011</x:v>
      </x:c>
      <x:c r="B15" s="43" t="n">
        <x:v>46218.993055555555</x:v>
      </x:c>
      <x:c r="C15" s="38" t="str">
        <x:v>lead-b@example.com</x:v>
      </x:c>
      <x:c r="D15" s="38" t="str">
        <x:v>Lead B</x:v>
      </x:c>
      <x:c r="E15" s="38" t="str">
        <x:v>Sales</x:v>
      </x:c>
      <x:c r="F15" s="38" t="str">
        <x:v>Low</x:v>
      </x:c>
      <x:c r="G15" s="44" t="str">
        <x:v>Service inquiry</x:v>
      </x:c>
      <x:c r="H15" s="38" t="n">
        <x:v>48</x:v>
      </x:c>
      <x:c r="I15" s="43" t="n">
        <x:f>B15+H15/24</x:f>
        <x:v>46220.993055555555</x:v>
      </x:c>
      <x:c r="J15" s="43"/>
      <x:c r="K15" s="38" t="str">
        <x:v>New</x:v>
      </x:c>
      <x:c r="L15" s="38" t="str">
        <x:f>IF(K15="Closed",IF(J15&lt;=I15,"On Time","Late"),IF(I15&lt;'Dashboard'!$B$5,"Overdue","Open"))</x:f>
        <x:v>Overdue</x:v>
      </x:c>
      <x:c r="M15" s="41" t="str">
        <x:f>IF(K15="Closed",(J15-B15)*24,"")</x:f>
      </x:c>
      <x:c r="N15" s="44" t="str">
        <x:v>Qualify need and budget</x:v>
      </x:c>
      <x:c r="O15" s="38" t="str">
        <x:v>Leads</x:v>
      </x:c>
    </x:row>
    <x:row r="16">
      <x:c r="A16" s="38" t="str">
        <x:v>IN-012</x:v>
      </x:c>
      <x:c r="B16" s="43" t="n">
        <x:v>46219.041666666664</x:v>
      </x:c>
      <x:c r="C16" s="38" t="str">
        <x:v>executive@example.com</x:v>
      </x:c>
      <x:c r="D16" s="38" t="str">
        <x:v>Executive</x:v>
      </x:c>
      <x:c r="E16" s="38" t="str">
        <x:v>Executive</x:v>
      </x:c>
      <x:c r="F16" s="38" t="str">
        <x:v>High</x:v>
      </x:c>
      <x:c r="G16" s="44" t="str">
        <x:v>Calendar change</x:v>
      </x:c>
      <x:c r="H16" s="38" t="n">
        <x:v>2</x:v>
      </x:c>
      <x:c r="I16" s="43" t="n">
        <x:f>B16+H16/24</x:f>
        <x:v>46219.125</x:v>
      </x:c>
      <x:c r="J16" s="43" t="n">
        <x:v>46219.09027777778</x:v>
      </x:c>
      <x:c r="K16" s="38" t="str">
        <x:v>Closed</x:v>
      </x:c>
      <x:c r="L16" s="38" t="str">
        <x:f>IF(K16="Closed",IF(J16&lt;=I16,"On Time","Late"),IF(I16&lt;'Dashboard'!$B$5,"Overdue","Open"))</x:f>
        <x:v>On Time</x:v>
      </x:c>
      <x:c r="M16" s="41" t="n">
        <x:f>IF(K16="Closed",(J16-B16)*24,"")</x:f>
        <x:v>1.1666666668024845</x:v>
      </x:c>
      <x:c r="N16" s="44" t="str">
        <x:v>Update Friday meeting</x:v>
      </x:c>
      <x:c r="O16" s="38" t="str">
        <x:v>Executive Ops</x:v>
      </x:c>
    </x:row>
    <x:row r="17">
      <x:c r="A17" s="38" t="str">
        <x:v>IN-013</x:v>
      </x:c>
      <x:c r="B17" s="43" t="n">
        <x:v>46219.225694444445</x:v>
      </x:c>
      <x:c r="C17" s="38" t="str">
        <x:v>client@skilltestindonesia.com</x:v>
      </x:c>
      <x:c r="D17" s="38" t="str">
        <x:v>SkillTest</x:v>
      </x:c>
      <x:c r="E17" s="38" t="str">
        <x:v>Client</x:v>
      </x:c>
      <x:c r="F17" s="38" t="str">
        <x:v>High</x:v>
      </x:c>
      <x:c r="G17" s="44" t="str">
        <x:v>Handover preview</x:v>
      </x:c>
      <x:c r="H17" s="38" t="n">
        <x:v>4</x:v>
      </x:c>
      <x:c r="I17" s="43" t="n">
        <x:f>B17+H17/24</x:f>
        <x:v>46219.39236111111</x:v>
      </x:c>
      <x:c r="J17" s="43" t="n">
        <x:v>46219.32986111111</x:v>
      </x:c>
      <x:c r="K17" s="38" t="str">
        <x:v>Closed</x:v>
      </x:c>
      <x:c r="L17" s="38" t="str">
        <x:f>IF(K17="Closed",IF(J17&lt;=I17,"On Time","Late"),IF(I17&lt;'Dashboard'!$B$5,"Overdue","Open"))</x:f>
        <x:v>On Time</x:v>
      </x:c>
      <x:c r="M17" s="41" t="n">
        <x:f>IF(K17="Closed",(J17-B17)*24,"")</x:f>
        <x:v>2.4999999999417923</x:v>
      </x:c>
      <x:c r="N17" s="44" t="str">
        <x:v>Share preview version only</x:v>
      </x:c>
      <x:c r="O17" s="38" t="str">
        <x:v>Client - SkillTest</x:v>
      </x:c>
    </x:row>
    <x:row r="18">
      <x:c r="A18" s="38" t="str">
        <x:v>IN-014</x:v>
      </x:c>
      <x:c r="B18" s="43" t="n">
        <x:v>46220.09027777778</x:v>
      </x:c>
      <x:c r="C18" s="38" t="str">
        <x:v>noreply@clickup.com</x:v>
      </x:c>
      <x:c r="D18" s="38" t="str">
        <x:v>ClickUp</x:v>
      </x:c>
      <x:c r="E18" s="38" t="str">
        <x:v>Internal</x:v>
      </x:c>
      <x:c r="F18" s="38" t="str">
        <x:v>Low</x:v>
      </x:c>
      <x:c r="G18" s="44" t="str">
        <x:v>Task status digest</x:v>
      </x:c>
      <x:c r="H18" s="38" t="n">
        <x:v>48</x:v>
      </x:c>
      <x:c r="I18" s="43" t="n">
        <x:f>B18+H18/24</x:f>
        <x:v>46222.09027777778</x:v>
      </x:c>
      <x:c r="J18" s="43" t="n">
        <x:v>46221.024305555555</x:v>
      </x:c>
      <x:c r="K18" s="38" t="str">
        <x:v>Closed</x:v>
      </x:c>
      <x:c r="L18" s="38" t="str">
        <x:f>IF(K18="Closed",IF(J18&lt;=I18,"On Time","Late"),IF(I18&lt;'Dashboard'!$B$5,"Overdue","Open"))</x:f>
        <x:v>On Time</x:v>
      </x:c>
      <x:c r="M18" s="41" t="n">
        <x:f>IF(K18="Closed",(J18-B18)*24,"")</x:f>
        <x:v>22.416666666569654</x:v>
      </x:c>
      <x:c r="N18" s="44" t="str">
        <x:v>Update task board</x:v>
      </x:c>
      <x:c r="O18" s="38" t="str">
        <x:v>Tools</x:v>
      </x:c>
    </x:row>
    <x:row r="19">
      <x:c r="A19" s="38" t="str">
        <x:v>IN-015</x:v>
      </x:c>
      <x:c r="B19" s="43" t="n">
        <x:v>46220.25347222222</x:v>
      </x:c>
      <x:c r="C19" s="38" t="str">
        <x:v>urgent@client.com</x:v>
      </x:c>
      <x:c r="D19" s="38" t="str">
        <x:v>Client</x:v>
      </x:c>
      <x:c r="E19" s="38" t="str">
        <x:v>Client</x:v>
      </x:c>
      <x:c r="F19" s="38" t="str">
        <x:v>High</x:v>
      </x:c>
      <x:c r="G19" s="44" t="str">
        <x:v>Approval needed</x:v>
      </x:c>
      <x:c r="H19" s="38" t="n">
        <x:v>2</x:v>
      </x:c>
      <x:c r="I19" s="43" t="n">
        <x:f>B19+H19/24</x:f>
        <x:v>46220.336805555555</x:v>
      </x:c>
      <x:c r="J19" s="43"/>
      <x:c r="K19" s="38" t="str">
        <x:v>Escalated</x:v>
      </x:c>
      <x:c r="L19" s="38" t="str">
        <x:f>IF(K19="Closed",IF(J19&lt;=I19,"On Time","Late"),IF(I19&lt;'Dashboard'!$B$5,"Overdue","Open"))</x:f>
        <x:v>Overdue</x:v>
      </x:c>
      <x:c r="M19" s="41" t="str">
        <x:f>IF(K19="Closed",(J19-B19)*24,"")</x:f>
      </x:c>
      <x:c r="N19" s="44" t="str">
        <x:v>Ask executive for decision</x:v>
      </x:c>
      <x:c r="O19" s="38" t="str">
        <x:v>Urgent</x:v>
      </x:c>
    </x:row>
    <x:row r="20">
      <x:c r="A20" s="38" t="str">
        <x:v>IN-016</x:v>
      </x:c>
      <x:c r="B20" s="43" t="n">
        <x:v>46221.03125</x:v>
      </x:c>
      <x:c r="C20" s="38" t="str">
        <x:v>recruiter@example.com</x:v>
      </x:c>
      <x:c r="D20" s="38" t="str">
        <x:v>Recruiter</x:v>
      </x:c>
      <x:c r="E20" s="38" t="str">
        <x:v>Internal</x:v>
      </x:c>
      <x:c r="F20" s="38" t="str">
        <x:v>Medium</x:v>
      </x:c>
      <x:c r="G20" s="44" t="str">
        <x:v>Portfolio request</x:v>
      </x:c>
      <x:c r="H20" s="38" t="n">
        <x:v>24</x:v>
      </x:c>
      <x:c r="I20" s="43" t="n">
        <x:f>B20+H20/24</x:f>
        <x:v>46222.03125</x:v>
      </x:c>
      <x:c r="J20" s="43"/>
      <x:c r="K20" s="38" t="str">
        <x:v>New</x:v>
      </x:c>
      <x:c r="L20" s="38" t="str">
        <x:f>IF(K20="Closed",IF(J20&lt;=I20,"On Time","Late"),IF(I20&lt;'Dashboard'!$B$5,"Overdue","Open"))</x:f>
        <x:v>Open</x:v>
      </x:c>
      <x:c r="M20" s="41" t="str">
        <x:f>IF(K20="Closed",(J20-B20)*24,"")</x:f>
      </x:c>
      <x:c r="N20" s="44" t="str">
        <x:v>Send portfolio and CV</x:v>
      </x:c>
      <x:c r="O20" s="38" t="str">
        <x:v>Career</x:v>
      </x:c>
    </x:row>
  </x:sheetData>
  <x:mergeCells>
    <x:mergeCell ref="A1:O1"/>
    <x:mergeCell ref="A2:O2"/>
  </x:mergeCells>
  <x:dataValidations count="3">
    <x:dataValidation type="list" sqref="E5:E20">
      <x:formula1>"Client,Executive,Technical,Sales,Finance,Internal"</x:formula1>
    </x:dataValidation>
    <x:dataValidation type="list" sqref="F5:F20">
      <x:formula1>"High,Medium,Low"</x:formula1>
    </x:dataValidation>
    <x:dataValidation type="list" sqref="K5:K20">
      <x:formula1>"New,In Progress,Waiting,Closed,Escalated,Drafted"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fd3becd6094da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0" hidden="0" customWidth="1"/>
    <x:col min="3" max="3" width="26" hidden="0" customWidth="1"/>
    <x:col min="4" max="4" width="18" hidden="0" customWidth="1"/>
    <x:col min="5" max="5" width="11" hidden="0" customWidth="1"/>
    <x:col min="6" max="6" width="36" hidden="0" customWidth="1"/>
    <x:col min="7" max="7" width="13" hidden="0" customWidth="1"/>
    <x:col min="8" max="8" width="30" hidden="0" customWidth="1"/>
    <x:col min="9" max="9" width="12" hidden="0" customWidth="1"/>
  </x:cols>
  <x:sheetData>
    <x:row r="1" ht="28" customHeight="1">
      <x:c r="A1" s="33" t="str">
        <x:v>Calendar</x:v>
      </x:c>
      <x:c r="B1" s="33" t="str">
        <x:v>Calendar</x:v>
      </x:c>
      <x:c r="C1" s="33" t="str">
        <x:v>Calendar</x:v>
      </x:c>
      <x:c r="D1" s="33" t="str">
        <x:v>Calendar</x:v>
      </x:c>
      <x:c r="E1" s="33" t="str">
        <x:v>Calendar</x:v>
      </x:c>
      <x:c r="F1" s="33" t="str">
        <x:v>Calendar</x:v>
      </x:c>
      <x:c r="G1" s="33" t="str">
        <x:v>Calendar</x:v>
      </x:c>
      <x:c r="H1" s="33" t="str">
        <x:v>Calendar</x:v>
      </x:c>
      <x:c r="I1" s="33" t="str">
        <x:v>Calendar</x:v>
      </x:c>
    </x:row>
    <x:row r="2" ht="36" customHeight="1">
      <x:c r="A2" s="7" t="str">
        <x:v>Weekly meeting plan with prep notes and follow-up ownership. This is intentionally simple: a manager or client could use it without explanation.</x:v>
      </x:c>
      <x:c r="B2" s="7" t="str">
        <x:v>Weekly meeting plan with prep notes and follow-up ownership. This is intentionally simple: a manager or client could use it without explanation.</x:v>
      </x:c>
      <x:c r="C2" s="7" t="str">
        <x:v>Weekly meeting plan with prep notes and follow-up ownership. This is intentionally simple: a manager or client could use it without explanation.</x:v>
      </x:c>
      <x:c r="D2" s="7" t="str">
        <x:v>Weekly meeting plan with prep notes and follow-up ownership. This is intentionally simple: a manager or client could use it without explanation.</x:v>
      </x:c>
      <x:c r="E2" s="7" t="str">
        <x:v>Weekly meeting plan with prep notes and follow-up ownership. This is intentionally simple: a manager or client could use it without explanation.</x:v>
      </x:c>
      <x:c r="F2" s="7" t="str">
        <x:v>Weekly meeting plan with prep notes and follow-up ownership. This is intentionally simple: a manager or client could use it without explanation.</x:v>
      </x:c>
      <x:c r="G2" s="7" t="str">
        <x:v>Weekly meeting plan with prep notes and follow-up ownership. This is intentionally simple: a manager or client could use it without explanation.</x:v>
      </x:c>
      <x:c r="H2" s="7" t="str">
        <x:v>Weekly meeting plan with prep notes and follow-up ownership. This is intentionally simple: a manager or client could use it without explanation.</x:v>
      </x:c>
      <x:c r="I2" s="7" t="str">
        <x:v>Weekly meeting plan with prep notes and follow-up ownership. This is intentionally simple: a manager or client could use it without explanation.</x:v>
      </x:c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</x:row>
    <x:row r="4">
      <x:c r="A4" s="37" t="str">
        <x:v>Date</x:v>
      </x:c>
      <x:c r="B4" s="37" t="str">
        <x:v>Time</x:v>
      </x:c>
      <x:c r="C4" s="37" t="str">
        <x:v>Meeting</x:v>
      </x:c>
      <x:c r="D4" s="37" t="str">
        <x:v>Stakeholder</x:v>
      </x:c>
      <x:c r="E4" s="37" t="str">
        <x:v>Priority</x:v>
      </x:c>
      <x:c r="F4" s="37" t="str">
        <x:v>Prep Needed</x:v>
      </x:c>
      <x:c r="G4" s="37" t="str">
        <x:v>Status</x:v>
      </x:c>
      <x:c r="H4" s="37" t="str">
        <x:v>Follow-up</x:v>
      </x:c>
      <x:c r="I4" s="37" t="str">
        <x:v>Owner</x:v>
      </x:c>
    </x:row>
    <x:row r="5">
      <x:c r="A5" s="36" t="n">
        <x:v>46216</x:v>
      </x:c>
      <x:c r="B5" s="38" t="str">
        <x:v>09:00</x:v>
      </x:c>
      <x:c r="C5" s="38" t="str">
        <x:v>Weekly planning</x:v>
      </x:c>
      <x:c r="D5" s="38" t="str">
        <x:v>Executive</x:v>
      </x:c>
      <x:c r="E5" s="38" t="str">
        <x:v>High</x:v>
      </x:c>
      <x:c r="F5" s="44" t="str">
        <x:v>Dashboard, inbox exceptions, open tasks</x:v>
      </x:c>
      <x:c r="G5" s="44" t="str">
        <x:v>Confirmed</x:v>
      </x:c>
      <x:c r="H5" s="44" t="str">
        <x:v>Send recap</x:v>
      </x:c>
      <x:c r="I5" s="38" t="str">
        <x:v>Marc</x:v>
      </x:c>
    </x:row>
    <x:row r="6">
      <x:c r="A6" s="36" t="n">
        <x:v>46216</x:v>
      </x:c>
      <x:c r="B6" s="38" t="str">
        <x:v>13:30</x:v>
      </x:c>
      <x:c r="C6" s="38" t="str">
        <x:v>Website check-in</x:v>
      </x:c>
      <x:c r="D6" s="38" t="str">
        <x:v>Client</x:v>
      </x:c>
      <x:c r="E6" s="38" t="str">
        <x:v>High</x:v>
      </x:c>
      <x:c r="F6" s="44" t="str">
        <x:v>Project links and revision list</x:v>
      </x:c>
      <x:c r="G6" s="44" t="str">
        <x:v>Confirmed</x:v>
      </x:c>
      <x:c r="H6" s="44" t="str">
        <x:v>Share action list</x:v>
      </x:c>
      <x:c r="I6" s="38" t="str">
        <x:v>Marc</x:v>
      </x:c>
    </x:row>
    <x:row r="7">
      <x:c r="A7" s="36" t="n">
        <x:v>46217</x:v>
      </x:c>
      <x:c r="B7" s="38" t="str">
        <x:v>10:00</x:v>
      </x:c>
      <x:c r="C7" s="38" t="str">
        <x:v>Lead review</x:v>
      </x:c>
      <x:c r="D7" s="38" t="str">
        <x:v>Sales client</x:v>
      </x:c>
      <x:c r="E7" s="38" t="str">
        <x:v>Medium</x:v>
      </x:c>
      <x:c r="F7" s="44" t="str">
        <x:v>Pipeline and next follow-up list</x:v>
      </x:c>
      <x:c r="G7" s="44" t="str">
        <x:v>Tentative</x:v>
      </x:c>
      <x:c r="H7" s="44" t="str">
        <x:v>Confirm attendees</x:v>
      </x:c>
      <x:c r="I7" s="38" t="str">
        <x:v>Marc</x:v>
      </x:c>
    </x:row>
    <x:row r="8">
      <x:c r="A8" s="36" t="n">
        <x:v>46217</x:v>
      </x:c>
      <x:c r="B8" s="38" t="str">
        <x:v>16:00</x:v>
      </x:c>
      <x:c r="C8" s="38" t="str">
        <x:v>Inbox cleanup</x:v>
      </x:c>
      <x:c r="D8" s="38" t="str">
        <x:v>Admin team</x:v>
      </x:c>
      <x:c r="E8" s="38" t="str">
        <x:v>Medium</x:v>
      </x:c>
      <x:c r="F8" s="44" t="str">
        <x:v>Urgent labels and closed threads</x:v>
      </x:c>
      <x:c r="G8" s="44" t="str">
        <x:v>Confirmed</x:v>
      </x:c>
      <x:c r="H8" s="44" t="str">
        <x:v>Archive complete items</x:v>
      </x:c>
      <x:c r="I8" s="38" t="str">
        <x:v>Marc</x:v>
      </x:c>
    </x:row>
    <x:row r="9">
      <x:c r="A9" s="36" t="n">
        <x:v>46218</x:v>
      </x:c>
      <x:c r="B9" s="38" t="str">
        <x:v>08:30</x:v>
      </x:c>
      <x:c r="C9" s="38" t="str">
        <x:v>HSHR landing review</x:v>
      </x:c>
      <x:c r="D9" s="38" t="str">
        <x:v>Client</x:v>
      </x:c>
      <x:c r="E9" s="38" t="str">
        <x:v>High</x:v>
      </x:c>
      <x:c r="F9" s="44" t="str">
        <x:v>Mobile checks and copy notes</x:v>
      </x:c>
      <x:c r="G9" s="44" t="str">
        <x:v>Confirmed</x:v>
      </x:c>
      <x:c r="H9" s="44" t="str">
        <x:v>Capture revisions</x:v>
      </x:c>
      <x:c r="I9" s="38" t="str">
        <x:v>Marc</x:v>
      </x:c>
    </x:row>
    <x:row r="10">
      <x:c r="A10" s="36" t="n">
        <x:v>46218</x:v>
      </x:c>
      <x:c r="B10" s="38" t="str">
        <x:v>14:00</x:v>
      </x:c>
      <x:c r="C10" s="38" t="str">
        <x:v>Firebase access review</x:v>
      </x:c>
      <x:c r="D10" s="38" t="str">
        <x:v>Technical</x:v>
      </x:c>
      <x:c r="E10" s="38" t="str">
        <x:v>High</x:v>
      </x:c>
      <x:c r="F10" s="44" t="str">
        <x:v>Rules checklist, no-secret check</x:v>
      </x:c>
      <x:c r="G10" s="44" t="str">
        <x:v>Confirmed</x:v>
      </x:c>
      <x:c r="H10" s="44" t="str">
        <x:v>Update handover preview</x:v>
      </x:c>
      <x:c r="I10" s="38" t="str">
        <x:v>Marc</x:v>
      </x:c>
    </x:row>
    <x:row r="11">
      <x:c r="A11" s="36" t="n">
        <x:v>46219</x:v>
      </x:c>
      <x:c r="B11" s="38" t="str">
        <x:v>11:00</x:v>
      </x:c>
      <x:c r="C11" s="38" t="str">
        <x:v>Prospect discovery</x:v>
      </x:c>
      <x:c r="D11" s="38" t="str">
        <x:v>Prospect</x:v>
      </x:c>
      <x:c r="E11" s="38" t="str">
        <x:v>Medium</x:v>
      </x:c>
      <x:c r="F11" s="44" t="str">
        <x:v>Company notes and service fit</x:v>
      </x:c>
      <x:c r="G11" s="44" t="str">
        <x:v>Pending</x:v>
      </x:c>
      <x:c r="H11" s="44" t="str">
        <x:v>Send reminder</x:v>
      </x:c>
      <x:c r="I11" s="38" t="str">
        <x:v>Marc</x:v>
      </x:c>
    </x:row>
    <x:row r="12">
      <x:c r="A12" s="36" t="n">
        <x:v>46219</x:v>
      </x:c>
      <x:c r="B12" s="38" t="str">
        <x:v>15:30</x:v>
      </x:c>
      <x:c r="C12" s="38" t="str">
        <x:v>Content calendar review</x:v>
      </x:c>
      <x:c r="D12" s="38" t="str">
        <x:v>Community client</x:v>
      </x:c>
      <x:c r="E12" s="38" t="str">
        <x:v>Low</x:v>
      </x:c>
      <x:c r="F12" s="44" t="str">
        <x:v>Engagement notes</x:v>
      </x:c>
      <x:c r="G12" s="44" t="str">
        <x:v>Confirmed</x:v>
      </x:c>
      <x:c r="H12" s="44" t="str">
        <x:v>Draft next week plan</x:v>
      </x:c>
      <x:c r="I12" s="38" t="str">
        <x:v>Marc</x:v>
      </x:c>
    </x:row>
    <x:row r="13">
      <x:c r="A13" s="36" t="n">
        <x:v>46220</x:v>
      </x:c>
      <x:c r="B13" s="38" t="str">
        <x:v>09:30</x:v>
      </x:c>
      <x:c r="C13" s="38" t="str">
        <x:v>Weekly wrap-up</x:v>
      </x:c>
      <x:c r="D13" s="38" t="str">
        <x:v>Executive</x:v>
      </x:c>
      <x:c r="E13" s="38" t="str">
        <x:v>High</x:v>
      </x:c>
      <x:c r="F13" s="44" t="str">
        <x:v>Final KPI summary</x:v>
      </x:c>
      <x:c r="G13" s="44" t="str">
        <x:v>Confirmed</x:v>
      </x:c>
      <x:c r="H13" s="44" t="str">
        <x:v>Publish priorities</x:v>
      </x:c>
      <x:c r="I13" s="38" t="str">
        <x:v>Marc</x:v>
      </x:c>
    </x:row>
    <x:row r="14">
      <x:c r="A14" s="36" t="n">
        <x:v>46220</x:v>
      </x:c>
      <x:c r="B14" s="38" t="str">
        <x:v>13:00</x:v>
      </x:c>
      <x:c r="C14" s="38" t="str">
        <x:v>Handover preview review</x:v>
      </x:c>
      <x:c r="D14" s="38" t="str">
        <x:v>Developer</x:v>
      </x:c>
      <x:c r="E14" s="38" t="str">
        <x:v>Medium</x:v>
      </x:c>
      <x:c r="F14" s="44" t="str">
        <x:v>Preview PDF and deployment notes</x:v>
      </x:c>
      <x:c r="G14" s="44" t="str">
        <x:v>Pending</x:v>
      </x:c>
      <x:c r="H14" s="44" t="str">
        <x:v>Finalize notes</x:v>
      </x:c>
      <x:c r="I14" s="38" t="str">
        <x:v>Marc</x:v>
      </x:c>
    </x:row>
    <x:row r="15">
      <x:c r="A15" s="36" t="n">
        <x:v>46221</x:v>
      </x:c>
      <x:c r="B15" s="38" t="str">
        <x:v>10:00</x:v>
      </x:c>
      <x:c r="C15" s="38" t="str">
        <x:v>Follow-up call</x:v>
      </x:c>
      <x:c r="D15" s="38" t="str">
        <x:v>Prospect</x:v>
      </x:c>
      <x:c r="E15" s="38" t="str">
        <x:v>Low</x:v>
      </x:c>
      <x:c r="F15" s="44" t="str">
        <x:v>Email thread and previous objections</x:v>
      </x:c>
      <x:c r="G15" s="44" t="str">
        <x:v>Tentative</x:v>
      </x:c>
      <x:c r="H15" s="44" t="str">
        <x:v>Qualify lead</x:v>
      </x:c>
      <x:c r="I15" s="38" t="str">
        <x:v>Marc</x:v>
      </x:c>
    </x:row>
    <x:row r="16">
      <x:c r="A16" s="36" t="n">
        <x:v>46221</x:v>
      </x:c>
      <x:c r="B16" s="38" t="str">
        <x:v>16:30</x:v>
      </x:c>
      <x:c r="C16" s="38" t="str">
        <x:v>Support issue review</x:v>
      </x:c>
      <x:c r="D16" s="38" t="str">
        <x:v>Client support</x:v>
      </x:c>
      <x:c r="E16" s="38" t="str">
        <x:v>High</x:v>
      </x:c>
      <x:c r="F16" s="44" t="str">
        <x:v>Ticket notes</x:v>
      </x:c>
      <x:c r="G16" s="44" t="str">
        <x:v>Confirmed</x:v>
      </x:c>
      <x:c r="H16" s="44" t="str">
        <x:v>Close resolved tickets</x:v>
      </x:c>
      <x:c r="I16" s="38" t="str">
        <x:v>Marc</x:v>
      </x:c>
    </x:row>
  </x:sheetData>
  <x:mergeCells>
    <x:mergeCell ref="A1:I1"/>
    <x:mergeCell ref="A2:I2"/>
  </x:mergeCells>
  <x:dataValidations count="2">
    <x:dataValidation type="list" sqref="E5:E16">
      <x:formula1>"High,Medium,Low"</x:formula1>
    </x:dataValidation>
    <x:dataValidation type="list" sqref="G5:G16">
      <x:formula1>"Confirmed,Tentative,Pending,Cancelled"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3c943b2fcd492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30" hidden="0" customWidth="1"/>
    <x:col min="4" max="4" width="11" hidden="0" customWidth="1"/>
    <x:col min="5" max="5" width="12" hidden="0" customWidth="1"/>
    <x:col min="6" max="6" width="13" hidden="0" customWidth="1"/>
    <x:col min="7" max="7" width="10" hidden="0" customWidth="1"/>
    <x:col min="8" max="8" width="14" hidden="0" customWidth="1"/>
    <x:col min="9" max="9" width="30" hidden="0" customWidth="1"/>
    <x:col min="10" max="10" width="24" hidden="0" customWidth="1"/>
  </x:cols>
  <x:sheetData>
    <x:row r="1" ht="28" customHeight="1">
      <x:c r="A1" s="33" t="str">
        <x:v>Task Board</x:v>
      </x:c>
      <x:c r="B1" s="33" t="str">
        <x:v>Task Board</x:v>
      </x:c>
      <x:c r="C1" s="33" t="str">
        <x:v>Task Board</x:v>
      </x:c>
      <x:c r="D1" s="33" t="str">
        <x:v>Task Board</x:v>
      </x:c>
      <x:c r="E1" s="33" t="str">
        <x:v>Task Board</x:v>
      </x:c>
      <x:c r="F1" s="33" t="str">
        <x:v>Task Board</x:v>
      </x:c>
      <x:c r="G1" s="33" t="str">
        <x:v>Task Board</x:v>
      </x:c>
      <x:c r="H1" s="33" t="str">
        <x:v>Task Board</x:v>
      </x:c>
      <x:c r="I1" s="33" t="str">
        <x:v>Task Board</x:v>
      </x:c>
      <x:c r="J1" s="33" t="str">
        <x:v>Task Board</x:v>
      </x:c>
    </x:row>
    <x:row r="2" ht="36" customHeight="1">
      <x:c r="A2" s="7" t="str">
        <x:v>Operational task list with due dates and calculated days left. This is the kind of sheet that makes follow-through visible.</x:v>
      </x:c>
      <x:c r="B2" s="7" t="str">
        <x:v>Operational task list with due dates and calculated days left. This is the kind of sheet that makes follow-through visible.</x:v>
      </x:c>
      <x:c r="C2" s="7" t="str">
        <x:v>Operational task list with due dates and calculated days left. This is the kind of sheet that makes follow-through visible.</x:v>
      </x:c>
      <x:c r="D2" s="7" t="str">
        <x:v>Operational task list with due dates and calculated days left. This is the kind of sheet that makes follow-through visible.</x:v>
      </x:c>
      <x:c r="E2" s="7" t="str">
        <x:v>Operational task list with due dates and calculated days left. This is the kind of sheet that makes follow-through visible.</x:v>
      </x:c>
      <x:c r="F2" s="7" t="str">
        <x:v>Operational task list with due dates and calculated days left. This is the kind of sheet that makes follow-through visible.</x:v>
      </x:c>
      <x:c r="G2" s="7" t="str">
        <x:v>Operational task list with due dates and calculated days left. This is the kind of sheet that makes follow-through visible.</x:v>
      </x:c>
      <x:c r="H2" s="7" t="str">
        <x:v>Operational task list with due dates and calculated days left. This is the kind of sheet that makes follow-through visible.</x:v>
      </x:c>
      <x:c r="I2" s="7" t="str">
        <x:v>Operational task list with due dates and calculated days left. This is the kind of sheet that makes follow-through visible.</x:v>
      </x:c>
      <x:c r="J2" s="7" t="str">
        <x:v>Operational task list with due dates and calculated days left. This is the kind of sheet that makes follow-through visible.</x:v>
      </x:c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  <x:c r="J3" s="42"/>
    </x:row>
    <x:row r="4">
      <x:c r="A4" s="37" t="str">
        <x:v>Task ID</x:v>
      </x:c>
      <x:c r="B4" s="37" t="str">
        <x:v>Workstream</x:v>
      </x:c>
      <x:c r="C4" s="37" t="str">
        <x:v>Task</x:v>
      </x:c>
      <x:c r="D4" s="37" t="str">
        <x:v>Priority</x:v>
      </x:c>
      <x:c r="E4" s="37" t="str">
        <x:v>Owner</x:v>
      </x:c>
      <x:c r="F4" s="37" t="str">
        <x:v>Due Date</x:v>
      </x:c>
      <x:c r="G4" s="37" t="str">
        <x:v>Days Left</x:v>
      </x:c>
      <x:c r="H4" s="37" t="str">
        <x:v>Status</x:v>
      </x:c>
      <x:c r="I4" s="37" t="str">
        <x:v>Blocker / Note</x:v>
      </x:c>
      <x:c r="J4" s="37" t="str">
        <x:v>Output</x:v>
      </x:c>
    </x:row>
    <x:row r="5">
      <x:c r="A5" s="38" t="str">
        <x:v>T-001</x:v>
      </x:c>
      <x:c r="B5" s="38" t="str">
        <x:v>Inbox</x:v>
      </x:c>
      <x:c r="C5" s="38" t="str">
        <x:v>Triage high priority inbox</x:v>
      </x:c>
      <x:c r="D5" s="38" t="str">
        <x:v>High</x:v>
      </x:c>
      <x:c r="E5" s="38" t="str">
        <x:v>Marc</x:v>
      </x:c>
      <x:c r="F5" s="36" t="n">
        <x:v>46216</x:v>
      </x:c>
      <x:c r="G5" s="45" t="n">
        <x:f>F5-'Dashboard'!$B$5</x:f>
        <x:v>-6</x:v>
      </x:c>
      <x:c r="H5" s="38" t="str">
        <x:v>Done</x:v>
      </x:c>
      <x:c r="I5" s="44" t="str">
        <x:v>Escalated urgent client message</x:v>
      </x:c>
      <x:c r="J5" s="44" t="str">
        <x:v>Inbox labels updated</x:v>
      </x:c>
    </x:row>
    <x:row r="6">
      <x:c r="A6" s="38" t="str">
        <x:v>T-002</x:v>
      </x:c>
      <x:c r="B6" s="38" t="str">
        <x:v>Calendar</x:v>
      </x:c>
      <x:c r="C6" s="38" t="str">
        <x:v>Prepare weekly agenda</x:v>
      </x:c>
      <x:c r="D6" s="38" t="str">
        <x:v>High</x:v>
      </x:c>
      <x:c r="E6" s="38" t="str">
        <x:v>Marc</x:v>
      </x:c>
      <x:c r="F6" s="36" t="n">
        <x:v>46216</x:v>
      </x:c>
      <x:c r="G6" s="45" t="n">
        <x:f>F6-'Dashboard'!$B$5</x:f>
        <x:v>-6</x:v>
      </x:c>
      <x:c r="H6" s="38" t="str">
        <x:v>Done</x:v>
      </x:c>
      <x:c r="I6" s="44" t="str">
        <x:v>Sent before planning sync</x:v>
      </x:c>
      <x:c r="J6" s="44" t="str">
        <x:v>Agenda sent</x:v>
      </x:c>
    </x:row>
    <x:row r="7">
      <x:c r="A7" s="38" t="str">
        <x:v>T-003</x:v>
      </x:c>
      <x:c r="B7" s="38" t="str">
        <x:v>Portfolio</x:v>
      </x:c>
      <x:c r="C7" s="38" t="str">
        <x:v>Update HCM project card</x:v>
      </x:c>
      <x:c r="D7" s="38" t="str">
        <x:v>Medium</x:v>
      </x:c>
      <x:c r="E7" s="38" t="str">
        <x:v>Marc</x:v>
      </x:c>
      <x:c r="F7" s="36" t="n">
        <x:v>46217</x:v>
      </x:c>
      <x:c r="G7" s="45" t="n">
        <x:f>F7-'Dashboard'!$B$5</x:f>
        <x:v>-5</x:v>
      </x:c>
      <x:c r="H7" s="38" t="str">
        <x:v>Done</x:v>
      </x:c>
      <x:c r="I7" s="44" t="str">
        <x:v>TypeScript/Tailwind stack noted</x:v>
      </x:c>
      <x:c r="J7" s="44" t="str">
        <x:v>Project link updated</x:v>
      </x:c>
    </x:row>
    <x:row r="8">
      <x:c r="A8" s="38" t="str">
        <x:v>T-004</x:v>
      </x:c>
      <x:c r="B8" s="38" t="str">
        <x:v>Documentation</x:v>
      </x:c>
      <x:c r="C8" s="38" t="str">
        <x:v>Create handover preview</x:v>
      </x:c>
      <x:c r="D8" s="38" t="str">
        <x:v>High</x:v>
      </x:c>
      <x:c r="E8" s="38" t="str">
        <x:v>Marc</x:v>
      </x:c>
      <x:c r="F8" s="36" t="n">
        <x:v>46218</x:v>
      </x:c>
      <x:c r="G8" s="45" t="n">
        <x:f>F8-'Dashboard'!$B$5</x:f>
        <x:v>-4</x:v>
      </x:c>
      <x:c r="H8" s="38" t="str">
        <x:v>Done</x:v>
      </x:c>
      <x:c r="I8" s="44" t="str">
        <x:v>Internal file replaced by preview</x:v>
      </x:c>
      <x:c r="J8" s="44" t="str">
        <x:v>Preview PDF</x:v>
      </x:c>
    </x:row>
    <x:row r="9">
      <x:c r="A9" s="38" t="str">
        <x:v>T-005</x:v>
      </x:c>
      <x:c r="B9" s="38" t="str">
        <x:v>Web dev</x:v>
      </x:c>
      <x:c r="C9" s="38" t="str">
        <x:v>Prepare HSHR landing feedback</x:v>
      </x:c>
      <x:c r="D9" s="38" t="str">
        <x:v>Medium</x:v>
      </x:c>
      <x:c r="E9" s="38" t="str">
        <x:v>Marc</x:v>
      </x:c>
      <x:c r="F9" s="36" t="n">
        <x:v>46219</x:v>
      </x:c>
      <x:c r="G9" s="45" t="n">
        <x:f>F9-'Dashboard'!$B$5</x:f>
        <x:v>-3</x:v>
      </x:c>
      <x:c r="H9" s="38" t="str">
        <x:v>In Progress</x:v>
      </x:c>
      <x:c r="I9" s="44" t="str">
        <x:v>PHP/MySQL/Bootstrap stack noted</x:v>
      </x:c>
      <x:c r="J9" s="44" t="str">
        <x:v>Revision notes</x:v>
      </x:c>
    </x:row>
    <x:row r="10">
      <x:c r="A10" s="38" t="str">
        <x:v>T-006</x:v>
      </x:c>
      <x:c r="B10" s="38" t="str">
        <x:v>Sales</x:v>
      </x:c>
      <x:c r="C10" s="38" t="str">
        <x:v>Follow up Prospect B</x:v>
      </x:c>
      <x:c r="D10" s="38" t="str">
        <x:v>Medium</x:v>
      </x:c>
      <x:c r="E10" s="38" t="str">
        <x:v>Marc</x:v>
      </x:c>
      <x:c r="F10" s="36" t="n">
        <x:v>46221</x:v>
      </x:c>
      <x:c r="G10" s="45" t="n">
        <x:f>F10-'Dashboard'!$B$5</x:f>
        <x:v>-1</x:v>
      </x:c>
      <x:c r="H10" s="38" t="str">
        <x:v>In Progress</x:v>
      </x:c>
      <x:c r="I10" s="44" t="str">
        <x:v>Send reminder</x:v>
      </x:c>
      <x:c r="J10" s="44" t="str">
        <x:v>Email draft</x:v>
      </x:c>
    </x:row>
    <x:row r="11">
      <x:c r="A11" s="38" t="str">
        <x:v>T-007</x:v>
      </x:c>
      <x:c r="B11" s="38" t="str">
        <x:v>Inbox</x:v>
      </x:c>
      <x:c r="C11" s="38" t="str">
        <x:v>Archive completed client emails</x:v>
      </x:c>
      <x:c r="D11" s="38" t="str">
        <x:v>Low</x:v>
      </x:c>
      <x:c r="E11" s="38" t="str">
        <x:v>Marc</x:v>
      </x:c>
      <x:c r="F11" s="36" t="n">
        <x:v>46221</x:v>
      </x:c>
      <x:c r="G11" s="45" t="n">
        <x:f>F11-'Dashboard'!$B$5</x:f>
        <x:v>-1</x:v>
      </x:c>
      <x:c r="H11" s="38" t="str">
        <x:v>Waiting</x:v>
      </x:c>
      <x:c r="I11" s="44" t="str">
        <x:v>Needs final approval</x:v>
      </x:c>
      <x:c r="J11" s="44" t="str">
        <x:v>Archive folder</x:v>
      </x:c>
    </x:row>
    <x:row r="12">
      <x:c r="A12" s="38" t="str">
        <x:v>T-008</x:v>
      </x:c>
      <x:c r="B12" s="38" t="str">
        <x:v>Documentation</x:v>
      </x:c>
      <x:c r="C12" s="38" t="str">
        <x:v>Create backup reminder</x:v>
      </x:c>
      <x:c r="D12" s="38" t="str">
        <x:v>High</x:v>
      </x:c>
      <x:c r="E12" s="38" t="str">
        <x:v>Marc</x:v>
      </x:c>
      <x:c r="F12" s="36" t="n">
        <x:v>46222</x:v>
      </x:c>
      <x:c r="G12" s="45" t="n">
        <x:f>F12-'Dashboard'!$B$5</x:f>
        <x:v>0</x:v>
      </x:c>
      <x:c r="H12" s="38" t="str">
        <x:v>In Progress</x:v>
      </x:c>
      <x:c r="I12" s="44" t="str">
        <x:v>Add to maintenance notes</x:v>
      </x:c>
      <x:c r="J12" s="44" t="str">
        <x:v>Reminder item</x:v>
      </x:c>
    </x:row>
    <x:row r="13">
      <x:c r="A13" s="38" t="str">
        <x:v>T-009</x:v>
      </x:c>
      <x:c r="B13" s="38" t="str">
        <x:v>Reporting</x:v>
      </x:c>
      <x:c r="C13" s="38" t="str">
        <x:v>Update VA workbook</x:v>
      </x:c>
      <x:c r="D13" s="38" t="str">
        <x:v>High</x:v>
      </x:c>
      <x:c r="E13" s="38" t="str">
        <x:v>Marc</x:v>
      </x:c>
      <x:c r="F13" s="36" t="n">
        <x:v>46223</x:v>
      </x:c>
      <x:c r="G13" s="45" t="n">
        <x:f>F13-'Dashboard'!$B$5</x:f>
        <x:v>1</x:v>
      </x:c>
      <x:c r="H13" s="38" t="str">
        <x:v>Done</x:v>
      </x:c>
      <x:c r="I13" s="44" t="str">
        <x:v>Refactored to practical tracker</x:v>
      </x:c>
      <x:c r="J13" s="44" t="str">
        <x:v>Workbook</x:v>
      </x:c>
    </x:row>
    <x:row r="14">
      <x:c r="A14" s="38" t="str">
        <x:v>T-010</x:v>
      </x:c>
      <x:c r="B14" s="38" t="str">
        <x:v>Portfolio</x:v>
      </x:c>
      <x:c r="C14" s="38" t="str">
        <x:v>Add screenshots later</x:v>
      </x:c>
      <x:c r="D14" s="38" t="str">
        <x:v>Low</x:v>
      </x:c>
      <x:c r="E14" s="38" t="str">
        <x:v>Marc</x:v>
      </x:c>
      <x:c r="F14" s="36" t="n">
        <x:v>46225</x:v>
      </x:c>
      <x:c r="G14" s="45" t="n">
        <x:f>F14-'Dashboard'!$B$5</x:f>
        <x:v>3</x:v>
      </x:c>
      <x:c r="H14" s="38" t="str">
        <x:v>Waiting</x:v>
      </x:c>
      <x:c r="I14" s="44" t="str">
        <x:v>Need approved images</x:v>
      </x:c>
      <x:c r="J14" s="44" t="str">
        <x:v>Screenshot folder</x:v>
      </x:c>
    </x:row>
    <x:row r="15">
      <x:c r="A15" s="38" t="str">
        <x:v>T-011</x:v>
      </x:c>
      <x:c r="B15" s="38" t="str">
        <x:v>Portfolio</x:v>
      </x:c>
      <x:c r="C15" s="38" t="str">
        <x:v>Review GitHub profile link</x:v>
      </x:c>
      <x:c r="D15" s="38" t="str">
        <x:v>Medium</x:v>
      </x:c>
      <x:c r="E15" s="38" t="str">
        <x:v>Marc</x:v>
      </x:c>
      <x:c r="F15" s="36" t="n">
        <x:v>46226</x:v>
      </x:c>
      <x:c r="G15" s="45" t="n">
        <x:f>F15-'Dashboard'!$B$5</x:f>
        <x:v>4</x:v>
      </x:c>
      <x:c r="H15" s="38" t="str">
        <x:v>Done</x:v>
      </x:c>
      <x:c r="I15" s="44" t="str">
        <x:v>Profile URL added</x:v>
      </x:c>
      <x:c r="J15" s="44" t="str">
        <x:v>Contact section</x:v>
      </x:c>
    </x:row>
    <x:row r="16">
      <x:c r="A16" s="38" t="str">
        <x:v>T-012</x:v>
      </x:c>
      <x:c r="B16" s="38" t="str">
        <x:v>Sales</x:v>
      </x:c>
      <x:c r="C16" s="38" t="str">
        <x:v>Draft follow-up message</x:v>
      </x:c>
      <x:c r="D16" s="38" t="str">
        <x:v>Medium</x:v>
      </x:c>
      <x:c r="E16" s="38" t="str">
        <x:v>Marc</x:v>
      </x:c>
      <x:c r="F16" s="36" t="n">
        <x:v>46227</x:v>
      </x:c>
      <x:c r="G16" s="45" t="n">
        <x:f>F16-'Dashboard'!$B$5</x:f>
        <x:v>5</x:v>
      </x:c>
      <x:c r="H16" s="38" t="str">
        <x:v>In Progress</x:v>
      </x:c>
      <x:c r="I16" s="44" t="str">
        <x:v>Use short response</x:v>
      </x:c>
      <x:c r="J16" s="44" t="str">
        <x:v>Email draft</x:v>
      </x:c>
    </x:row>
    <x:row r="17">
      <x:c r="A17" s="38" t="str">
        <x:v>T-013</x:v>
      </x:c>
      <x:c r="B17" s="38" t="str">
        <x:v>Reporting</x:v>
      </x:c>
      <x:c r="C17" s="38" t="str">
        <x:v>Prepare monthly summary</x:v>
      </x:c>
      <x:c r="D17" s="38" t="str">
        <x:v>Low</x:v>
      </x:c>
      <x:c r="E17" s="38" t="str">
        <x:v>Marc</x:v>
      </x:c>
      <x:c r="F17" s="36" t="n">
        <x:v>46228</x:v>
      </x:c>
      <x:c r="G17" s="45" t="n">
        <x:f>F17-'Dashboard'!$B$5</x:f>
        <x:v>6</x:v>
      </x:c>
      <x:c r="H17" s="38" t="str">
        <x:v>Waiting</x:v>
      </x:c>
      <x:c r="I17" s="44" t="str">
        <x:v>Use dashboard metrics</x:v>
      </x:c>
      <x:c r="J17" s="44" t="str">
        <x:v>Report outline</x:v>
      </x:c>
    </x:row>
    <x:row r="18">
      <x:c r="A18" s="38" t="str">
        <x:v>T-014</x:v>
      </x:c>
      <x:c r="B18" s="38" t="str">
        <x:v>Technical</x:v>
      </x:c>
      <x:c r="C18" s="38" t="str">
        <x:v>Check Firebase rules list</x:v>
      </x:c>
      <x:c r="D18" s="38" t="str">
        <x:v>High</x:v>
      </x:c>
      <x:c r="E18" s="38" t="str">
        <x:v>Marc</x:v>
      </x:c>
      <x:c r="F18" s="36" t="n">
        <x:v>46229</x:v>
      </x:c>
      <x:c r="G18" s="45" t="n">
        <x:f>F18-'Dashboard'!$B$5</x:f>
        <x:v>7</x:v>
      </x:c>
      <x:c r="H18" s="38" t="str">
        <x:v>In Progress</x:v>
      </x:c>
      <x:c r="I18" s="44" t="str">
        <x:v>No live secrets</x:v>
      </x:c>
      <x:c r="J18" s="44" t="str">
        <x:v>Checklist</x:v>
      </x:c>
    </x:row>
  </x:sheetData>
  <x:mergeCells>
    <x:mergeCell ref="A1:J1"/>
    <x:mergeCell ref="A2:J2"/>
  </x:mergeCells>
  <x:dataValidations count="2">
    <x:dataValidation type="list" sqref="D5:D18">
      <x:formula1>"High,Medium,Low"</x:formula1>
    </x:dataValidation>
    <x:dataValidation type="list" sqref="H5:H18">
      <x:formula1>"Done,In Progress,Waiting,Blocked"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7de8662303420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16" hidden="0" customWidth="1"/>
    <x:col min="5" max="5" width="13" hidden="0" customWidth="1"/>
    <x:col min="6" max="6" width="15" hidden="0" customWidth="1"/>
    <x:col min="7" max="7" width="10" hidden="0" customWidth="1"/>
    <x:col min="8" max="8" width="12" hidden="0" customWidth="1"/>
    <x:col min="9" max="9" width="12" hidden="0" customWidth="1"/>
    <x:col min="10" max="10" width="32" hidden="0" customWidth="1"/>
  </x:cols>
  <x:sheetData>
    <x:row r="1" ht="28" customHeight="1">
      <x:c r="A1" s="33" t="str">
        <x:v>Follow-ups</x:v>
      </x:c>
      <x:c r="B1" s="33" t="str">
        <x:v>Follow-ups</x:v>
      </x:c>
      <x:c r="C1" s="33" t="str">
        <x:v>Follow-ups</x:v>
      </x:c>
      <x:c r="D1" s="33" t="str">
        <x:v>Follow-ups</x:v>
      </x:c>
      <x:c r="E1" s="33" t="str">
        <x:v>Follow-ups</x:v>
      </x:c>
      <x:c r="F1" s="33" t="str">
        <x:v>Follow-ups</x:v>
      </x:c>
      <x:c r="G1" s="33" t="str">
        <x:v>Follow-ups</x:v>
      </x:c>
      <x:c r="H1" s="33" t="str">
        <x:v>Follow-ups</x:v>
      </x:c>
      <x:c r="I1" s="33" t="str">
        <x:v>Follow-ups</x:v>
      </x:c>
      <x:c r="J1" s="33" t="str">
        <x:v>Follow-ups</x:v>
      </x:c>
    </x:row>
    <x:row r="2" ht="36" customHeight="1">
      <x:c r="A2" s="7" t="str">
        <x:v>Lead and client follow-up log. This supports appointment setting, client communication, and CRM hygiene without overcomplicating the sheet.</x:v>
      </x:c>
      <x:c r="B2" s="7" t="str">
        <x:v>Lead and client follow-up log. This supports appointment setting, client communication, and CRM hygiene without overcomplicating the sheet.</x:v>
      </x:c>
      <x:c r="C2" s="7" t="str">
        <x:v>Lead and client follow-up log. This supports appointment setting, client communication, and CRM hygiene without overcomplicating the sheet.</x:v>
      </x:c>
      <x:c r="D2" s="7" t="str">
        <x:v>Lead and client follow-up log. This supports appointment setting, client communication, and CRM hygiene without overcomplicating the sheet.</x:v>
      </x:c>
      <x:c r="E2" s="7" t="str">
        <x:v>Lead and client follow-up log. This supports appointment setting, client communication, and CRM hygiene without overcomplicating the sheet.</x:v>
      </x:c>
      <x:c r="F2" s="7" t="str">
        <x:v>Lead and client follow-up log. This supports appointment setting, client communication, and CRM hygiene without overcomplicating the sheet.</x:v>
      </x:c>
      <x:c r="G2" s="7" t="str">
        <x:v>Lead and client follow-up log. This supports appointment setting, client communication, and CRM hygiene without overcomplicating the sheet.</x:v>
      </x:c>
      <x:c r="H2" s="7" t="str">
        <x:v>Lead and client follow-up log. This supports appointment setting, client communication, and CRM hygiene without overcomplicating the sheet.</x:v>
      </x:c>
      <x:c r="I2" s="7" t="str">
        <x:v>Lead and client follow-up log. This supports appointment setting, client communication, and CRM hygiene without overcomplicating the sheet.</x:v>
      </x:c>
      <x:c r="J2" s="7" t="str">
        <x:v>Lead and client follow-up log. This supports appointment setting, client communication, and CRM hygiene without overcomplicating the sheet.</x:v>
      </x:c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  <x:c r="J3" s="42"/>
    </x:row>
    <x:row r="4">
      <x:c r="A4" s="37" t="str">
        <x:v>Contact</x:v>
      </x:c>
      <x:c r="B4" s="37" t="str">
        <x:v>Company</x:v>
      </x:c>
      <x:c r="C4" s="37" t="str">
        <x:v>Type</x:v>
      </x:c>
      <x:c r="D4" s="37" t="str">
        <x:v>Source</x:v>
      </x:c>
      <x:c r="E4" s="37" t="str">
        <x:v>Last Contact</x:v>
      </x:c>
      <x:c r="F4" s="37" t="str">
        <x:v>Next Follow-up</x:v>
      </x:c>
      <x:c r="G4" s="37" t="str">
        <x:v>Days Until</x:v>
      </x:c>
      <x:c r="H4" s="37" t="str">
        <x:v>Status</x:v>
      </x:c>
      <x:c r="I4" s="37" t="str">
        <x:v>Outcome</x:v>
      </x:c>
      <x:c r="J4" s="37" t="str">
        <x:v>Next Message</x:v>
      </x:c>
    </x:row>
    <x:row r="5">
      <x:c r="A5" s="38" t="str">
        <x:v>Prospect A</x:v>
      </x:c>
      <x:c r="B5" s="38" t="str">
        <x:v>Florida Services</x:v>
      </x:c>
      <x:c r="C5" s="38" t="str">
        <x:v>Lead</x:v>
      </x:c>
      <x:c r="D5" s="38" t="str">
        <x:v>Cold outreach</x:v>
      </x:c>
      <x:c r="E5" s="36" t="n">
        <x:v>46215</x:v>
      </x:c>
      <x:c r="F5" s="36" t="n">
        <x:v>46219</x:v>
      </x:c>
      <x:c r="G5" s="45" t="n">
        <x:f>F5-'Dashboard'!$B$5</x:f>
        <x:v>-3</x:v>
      </x:c>
      <x:c r="H5" s="38" t="str">
        <x:v>Closed</x:v>
      </x:c>
      <x:c r="I5" s="38" t="str">
        <x:v>Booked</x:v>
      </x:c>
      <x:c r="J5" s="44" t="str">
        <x:v>Send meeting confirmation</x:v>
      </x:c>
    </x:row>
    <x:row r="6">
      <x:c r="A6" s="38" t="str">
        <x:v>Prospect B</x:v>
      </x:c>
      <x:c r="B6" s="38" t="str">
        <x:v>Local Retail</x:v>
      </x:c>
      <x:c r="C6" s="38" t="str">
        <x:v>Lead</x:v>
      </x:c>
      <x:c r="D6" s="38" t="str">
        <x:v>Referral</x:v>
      </x:c>
      <x:c r="E6" s="36" t="n">
        <x:v>46216</x:v>
      </x:c>
      <x:c r="F6" s="36" t="n">
        <x:v>46221</x:v>
      </x:c>
      <x:c r="G6" s="45" t="n">
        <x:f>F6-'Dashboard'!$B$5</x:f>
        <x:v>-1</x:v>
      </x:c>
      <x:c r="H6" s="38" t="str">
        <x:v>Open</x:v>
      </x:c>
      <x:c r="I6" s="38" t="str">
        <x:v>Pending</x:v>
      </x:c>
      <x:c r="J6" s="44" t="str">
        <x:v>Check availability for next week</x:v>
      </x:c>
    </x:row>
    <x:row r="7">
      <x:c r="A7" s="38" t="str">
        <x:v>Prospect C</x:v>
      </x:c>
      <x:c r="B7" s="38" t="str">
        <x:v>Education Group</x:v>
      </x:c>
      <x:c r="C7" s="38" t="str">
        <x:v>Lead</x:v>
      </x:c>
      <x:c r="D7" s="38" t="str">
        <x:v>Website form</x:v>
      </x:c>
      <x:c r="E7" s="36" t="n">
        <x:v>46217</x:v>
      </x:c>
      <x:c r="F7" s="36" t="n">
        <x:v>46220</x:v>
      </x:c>
      <x:c r="G7" s="45" t="n">
        <x:f>F7-'Dashboard'!$B$5</x:f>
        <x:v>-2</x:v>
      </x:c>
      <x:c r="H7" s="38" t="str">
        <x:v>Closed</x:v>
      </x:c>
      <x:c r="I7" s="38" t="str">
        <x:v>Booked</x:v>
      </x:c>
      <x:c r="J7" s="44" t="str">
        <x:v>Send agenda</x:v>
      </x:c>
    </x:row>
    <x:row r="8">
      <x:c r="A8" s="38" t="str">
        <x:v>Prospect D</x:v>
      </x:c>
      <x:c r="B8" s="38" t="str">
        <x:v>Startup Founder</x:v>
      </x:c>
      <x:c r="C8" s="38" t="str">
        <x:v>Lead</x:v>
      </x:c>
      <x:c r="D8" s="38" t="str">
        <x:v>LinkedIn</x:v>
      </x:c>
      <x:c r="E8" s="36" t="n">
        <x:v>46217</x:v>
      </x:c>
      <x:c r="F8" s="36" t="n">
        <x:v>46223</x:v>
      </x:c>
      <x:c r="G8" s="45" t="n">
        <x:f>F8-'Dashboard'!$B$5</x:f>
        <x:v>1</x:v>
      </x:c>
      <x:c r="H8" s="38" t="str">
        <x:v>Open</x:v>
      </x:c>
      <x:c r="I8" s="38" t="str">
        <x:v>Pending</x:v>
      </x:c>
      <x:c r="J8" s="44" t="str">
        <x:v>Ask about current process</x:v>
      </x:c>
    </x:row>
    <x:row r="9">
      <x:c r="A9" s="38" t="str">
        <x:v>Recruiter</x:v>
      </x:c>
      <x:c r="B9" s="38" t="str">
        <x:v>Hiring Team</x:v>
      </x:c>
      <x:c r="C9" s="38" t="str">
        <x:v>Career</x:v>
      </x:c>
      <x:c r="D9" s="38" t="str">
        <x:v>Email</x:v>
      </x:c>
      <x:c r="E9" s="36" t="n">
        <x:v>46218</x:v>
      </x:c>
      <x:c r="F9" s="36" t="n">
        <x:v>46222</x:v>
      </x:c>
      <x:c r="G9" s="45" t="n">
        <x:f>F9-'Dashboard'!$B$5</x:f>
        <x:v>0</x:v>
      </x:c>
      <x:c r="H9" s="38" t="str">
        <x:v>Closed</x:v>
      </x:c>
      <x:c r="I9" s="38" t="str">
        <x:v>Booked</x:v>
      </x:c>
      <x:c r="J9" s="44" t="str">
        <x:v>Send portfolio link</x:v>
      </x:c>
    </x:row>
    <x:row r="10">
      <x:c r="A10" s="38" t="str">
        <x:v>Agency Owner</x:v>
      </x:c>
      <x:c r="B10" s="38" t="str">
        <x:v>Agency</x:v>
      </x:c>
      <x:c r="C10" s="38" t="str">
        <x:v>Lead</x:v>
      </x:c>
      <x:c r="D10" s="38" t="str">
        <x:v>Cold outreach</x:v>
      </x:c>
      <x:c r="E10" s="36" t="n">
        <x:v>46218</x:v>
      </x:c>
      <x:c r="F10" s="36" t="n">
        <x:v>46225</x:v>
      </x:c>
      <x:c r="G10" s="45" t="n">
        <x:f>F10-'Dashboard'!$B$5</x:f>
        <x:v>3</x:v>
      </x:c>
      <x:c r="H10" s="38" t="str">
        <x:v>Open</x:v>
      </x:c>
      <x:c r="I10" s="38" t="str">
        <x:v>Nurture</x:v>
      </x:c>
      <x:c r="J10" s="44" t="str">
        <x:v>Share relevant project links</x:v>
      </x:c>
    </x:row>
    <x:row r="11">
      <x:c r="A11" s="38" t="str">
        <x:v>Clinic Admin</x:v>
      </x:c>
      <x:c r="B11" s="38" t="str">
        <x:v>Clinic</x:v>
      </x:c>
      <x:c r="C11" s="38" t="str">
        <x:v>Lead</x:v>
      </x:c>
      <x:c r="D11" s="38" t="str">
        <x:v>Website form</x:v>
      </x:c>
      <x:c r="E11" s="36" t="n">
        <x:v>46219</x:v>
      </x:c>
      <x:c r="F11" s="36" t="n">
        <x:v>46224</x:v>
      </x:c>
      <x:c r="G11" s="45" t="n">
        <x:f>F11-'Dashboard'!$B$5</x:f>
        <x:v>2</x:v>
      </x:c>
      <x:c r="H11" s="38" t="str">
        <x:v>Open</x:v>
      </x:c>
      <x:c r="I11" s="38" t="str">
        <x:v>Pending</x:v>
      </x:c>
      <x:c r="J11" s="44" t="str">
        <x:v>Ask preferred call time</x:v>
      </x:c>
    </x:row>
    <x:row r="12">
      <x:c r="A12" s="38" t="str">
        <x:v>HR Client</x:v>
      </x:c>
      <x:c r="B12" s="38" t="str">
        <x:v>HR Services</x:v>
      </x:c>
      <x:c r="C12" s="38" t="str">
        <x:v>Client</x:v>
      </x:c>
      <x:c r="D12" s="38" t="str">
        <x:v>Referral</x:v>
      </x:c>
      <x:c r="E12" s="36" t="n">
        <x:v>46219</x:v>
      </x:c>
      <x:c r="F12" s="36" t="n">
        <x:v>46226</x:v>
      </x:c>
      <x:c r="G12" s="45" t="n">
        <x:f>F12-'Dashboard'!$B$5</x:f>
        <x:v>4</x:v>
      </x:c>
      <x:c r="H12" s="38" t="str">
        <x:v>Open</x:v>
      </x:c>
      <x:c r="I12" s="38" t="str">
        <x:v>Nurture</x:v>
      </x:c>
      <x:c r="J12" s="44" t="str">
        <x:v>Send HCM example</x:v>
      </x:c>
    </x:row>
    <x:row r="13">
      <x:c r="A13" s="38" t="str">
        <x:v>School Org</x:v>
      </x:c>
      <x:c r="B13" s="38" t="str">
        <x:v>HSHR</x:v>
      </x:c>
      <x:c r="C13" s="38" t="str">
        <x:v>Client</x:v>
      </x:c>
      <x:c r="D13" s="38" t="str">
        <x:v>Email</x:v>
      </x:c>
      <x:c r="E13" s="36" t="n">
        <x:v>46220</x:v>
      </x:c>
      <x:c r="F13" s="36" t="n">
        <x:v>46227</x:v>
      </x:c>
      <x:c r="G13" s="45" t="n">
        <x:f>F13-'Dashboard'!$B$5</x:f>
        <x:v>5</x:v>
      </x:c>
      <x:c r="H13" s="38" t="str">
        <x:v>Closed</x:v>
      </x:c>
      <x:c r="I13" s="38" t="str">
        <x:v>Booked</x:v>
      </x:c>
      <x:c r="J13" s="44" t="str">
        <x:v>Confirm revision review</x:v>
      </x:c>
    </x:row>
    <x:row r="14">
      <x:c r="A14" s="38" t="str">
        <x:v>Ecommerce Owner</x:v>
      </x:c>
      <x:c r="B14" s="38" t="str">
        <x:v>Ecommerce</x:v>
      </x:c>
      <x:c r="C14" s="38" t="str">
        <x:v>Lead</x:v>
      </x:c>
      <x:c r="D14" s="38" t="str">
        <x:v>LinkedIn</x:v>
      </x:c>
      <x:c r="E14" s="36" t="n">
        <x:v>46220</x:v>
      </x:c>
      <x:c r="F14" s="36" t="n">
        <x:v>46228</x:v>
      </x:c>
      <x:c r="G14" s="45" t="n">
        <x:f>F14-'Dashboard'!$B$5</x:f>
        <x:v>6</x:v>
      </x:c>
      <x:c r="H14" s="38" t="str">
        <x:v>Open</x:v>
      </x:c>
      <x:c r="I14" s="38" t="str">
        <x:v>Pending</x:v>
      </x:c>
      <x:c r="J14" s="44" t="str">
        <x:v>Send short follow-up</x:v>
      </x:c>
    </x:row>
    <x:row r="15">
      <x:c r="A15" s="38" t="str">
        <x:v>Consultant</x:v>
      </x:c>
      <x:c r="B15" s="38" t="str">
        <x:v>Consulting</x:v>
      </x:c>
      <x:c r="C15" s="38" t="str">
        <x:v>Lead</x:v>
      </x:c>
      <x:c r="D15" s="38" t="str">
        <x:v>Cold outreach</x:v>
      </x:c>
      <x:c r="E15" s="36" t="n">
        <x:v>46221</x:v>
      </x:c>
      <x:c r="F15" s="36" t="n">
        <x:v>46229</x:v>
      </x:c>
      <x:c r="G15" s="45" t="n">
        <x:f>F15-'Dashboard'!$B$5</x:f>
        <x:v>7</x:v>
      </x:c>
      <x:c r="H15" s="38" t="str">
        <x:v>Open</x:v>
      </x:c>
      <x:c r="I15" s="38" t="str">
        <x:v>No Reply</x:v>
      </x:c>
      <x:c r="J15" s="44" t="str">
        <x:v>Final polite follow-up</x:v>
      </x:c>
    </x:row>
    <x:row r="16">
      <x:c r="A16" s="38" t="str">
        <x:v>Community Brand</x:v>
      </x:c>
      <x:c r="B16" s="38" t="str">
        <x:v>UK Client</x:v>
      </x:c>
      <x:c r="C16" s="38" t="str">
        <x:v>Client</x:v>
      </x:c>
      <x:c r="D16" s="38" t="str">
        <x:v>Referral</x:v>
      </x:c>
      <x:c r="E16" s="36" t="n">
        <x:v>46221</x:v>
      </x:c>
      <x:c r="F16" s="36" t="n">
        <x:v>46230</x:v>
      </x:c>
      <x:c r="G16" s="45" t="n">
        <x:f>F16-'Dashboard'!$B$5</x:f>
        <x:v>8</x:v>
      </x:c>
      <x:c r="H16" s="38" t="str">
        <x:v>Open</x:v>
      </x:c>
      <x:c r="I16" s="38" t="str">
        <x:v>Nurture</x:v>
      </x:c>
      <x:c r="J16" s="44" t="str">
        <x:v>Send content plan</x:v>
      </x:c>
    </x:row>
    <x:row r="17">
      <x:c r="A17" s="38" t="str">
        <x:v>SaaS Team</x:v>
      </x:c>
      <x:c r="B17" s="38" t="str">
        <x:v>SaaS</x:v>
      </x:c>
      <x:c r="C17" s="38" t="str">
        <x:v>Lead</x:v>
      </x:c>
      <x:c r="D17" s="38" t="str">
        <x:v>Email</x:v>
      </x:c>
      <x:c r="E17" s="36" t="n">
        <x:v>46222</x:v>
      </x:c>
      <x:c r="F17" s="36" t="n">
        <x:v>46231</x:v>
      </x:c>
      <x:c r="G17" s="45" t="n">
        <x:f>F17-'Dashboard'!$B$5</x:f>
        <x:v>9</x:v>
      </x:c>
      <x:c r="H17" s="38" t="str">
        <x:v>Closed</x:v>
      </x:c>
      <x:c r="I17" s="38" t="str">
        <x:v>Booked</x:v>
      </x:c>
      <x:c r="J17" s="44" t="str">
        <x:v>Send invite</x:v>
      </x:c>
    </x:row>
  </x:sheetData>
  <x:mergeCells>
    <x:mergeCell ref="A1:J1"/>
    <x:mergeCell ref="A2:J2"/>
  </x:mergeCells>
  <x:dataValidations count="3">
    <x:dataValidation type="list" sqref="C5:C17">
      <x:formula1>"Lead,Client,Career"</x:formula1>
    </x:dataValidation>
    <x:dataValidation type="list" sqref="H5:H17">
      <x:formula1>"Open,Closed,Paused"</x:formula1>
    </x:dataValidation>
    <x:dataValidation type="list" sqref="I5:I17">
      <x:formula1>"Booked,Pending,Nurture,No Reply"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4a18cfa15847ce"/>
  </x:tableParts>
</x:worksheet>
</file>